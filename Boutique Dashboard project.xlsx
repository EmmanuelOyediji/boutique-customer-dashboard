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c\Pictures\BOUTIQUE DASHBOARD\"/>
    </mc:Choice>
  </mc:AlternateContent>
  <bookViews>
    <workbookView xWindow="0" yWindow="0" windowWidth="20490" windowHeight="7755" activeTab="4"/>
  </bookViews>
  <sheets>
    <sheet name="Customers" sheetId="1" r:id="rId1"/>
    <sheet name="Promo Codes" sheetId="5" r:id="rId2"/>
    <sheet name="Products" sheetId="7" r:id="rId3"/>
    <sheet name="DashboardData" sheetId="16" r:id="rId4"/>
    <sheet name="Dashboard" sheetId="15" r:id="rId5"/>
    <sheet name="Combined Data" sheetId="10" r:id="rId6"/>
  </sheets>
  <definedNames>
    <definedName name="_xlcn.WorksheetConnection_dashboard.xlsxTable2" hidden="1">Table2[]</definedName>
    <definedName name="Slicer_Category">#N/A</definedName>
    <definedName name="Slicer_Gender">#N/A</definedName>
    <definedName name="Slicer_Location">#N/A</definedName>
    <definedName name="Slicer_Season">#N/A</definedName>
    <definedName name="tblCombined">Table2[]</definedName>
  </definedNames>
  <calcPr calcId="152511"/>
  <pivotCaches>
    <pivotCache cacheId="73" r:id="rId7"/>
    <pivotCache cacheId="76" r:id="rId8"/>
    <pivotCache cacheId="79" r:id="rId9"/>
    <pivotCache cacheId="82" r:id="rId10"/>
    <pivotCache cacheId="85" r:id="rId11"/>
    <pivotCache cacheId="88" r:id="rId12"/>
    <pivotCache cacheId="91" r:id="rId13"/>
    <pivotCache cacheId="94" r:id="rId14"/>
    <pivotCache cacheId="97" r:id="rId15"/>
    <pivotCache cacheId="100"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ad48b252-0811-42bf-b895-8f4c451d4cf6" name="Table2" connection="WorksheetConnection_dashboard.xlsx!Table2"/>
        </x15:modelTables>
      </x15:dataModel>
    </ext>
  </extLst>
</workbook>
</file>

<file path=xl/calcChain.xml><?xml version="1.0" encoding="utf-8"?>
<calcChain xmlns="http://schemas.openxmlformats.org/spreadsheetml/2006/main">
  <c r="Q2" i="10" l="1"/>
  <c r="Q3" i="10"/>
  <c r="Q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186" i="10"/>
  <c r="Q187" i="10"/>
  <c r="Q188" i="10"/>
  <c r="Q189" i="10"/>
  <c r="Q190" i="10"/>
  <c r="Q191" i="10"/>
  <c r="Q192" i="10"/>
  <c r="Q193" i="10"/>
  <c r="Q194" i="10"/>
  <c r="Q195" i="10"/>
  <c r="Q196" i="10"/>
  <c r="Q197" i="10"/>
  <c r="Q198" i="10"/>
  <c r="Q199" i="10"/>
  <c r="Q200" i="10"/>
  <c r="Q201" i="10"/>
  <c r="Q202" i="10"/>
  <c r="Q203" i="10"/>
  <c r="Q204" i="10"/>
  <c r="Q205" i="10"/>
  <c r="Q206" i="10"/>
  <c r="Q207" i="10"/>
  <c r="Q208" i="10"/>
  <c r="Q209" i="10"/>
  <c r="Q210" i="10"/>
  <c r="Q211" i="10"/>
  <c r="Q212" i="10"/>
  <c r="Q213" i="10"/>
  <c r="Q214" i="10"/>
  <c r="Q215" i="10"/>
  <c r="Q216" i="10"/>
  <c r="Q217" i="10"/>
  <c r="Q218" i="10"/>
  <c r="Q219" i="10"/>
  <c r="Q220" i="10"/>
  <c r="Q221" i="10"/>
  <c r="Q222" i="10"/>
  <c r="Q223" i="10"/>
  <c r="Q224" i="10"/>
  <c r="Q225" i="10"/>
  <c r="Q226" i="10"/>
  <c r="Q227" i="10"/>
  <c r="Q228" i="10"/>
  <c r="Q229" i="10"/>
  <c r="Q230" i="10"/>
  <c r="Q231" i="10"/>
  <c r="Q232" i="10"/>
  <c r="Q233" i="10"/>
  <c r="Q234" i="10"/>
  <c r="Q235" i="10"/>
  <c r="Q236" i="10"/>
  <c r="Q237" i="10"/>
  <c r="Q238" i="10"/>
  <c r="Q239" i="10"/>
  <c r="Q240" i="10"/>
  <c r="Q241" i="10"/>
  <c r="Q242" i="10"/>
  <c r="Q243" i="10"/>
  <c r="Q244" i="10"/>
  <c r="Q245" i="10"/>
  <c r="Q246" i="10"/>
  <c r="Q247" i="10"/>
  <c r="Q248" i="10"/>
  <c r="Q249" i="10"/>
  <c r="Q250" i="10"/>
  <c r="Q251" i="10"/>
  <c r="Q252" i="10"/>
  <c r="Q253" i="10"/>
  <c r="Q254" i="10"/>
  <c r="Q255" i="10"/>
  <c r="Q256" i="10"/>
  <c r="Q257" i="10"/>
  <c r="Q258" i="10"/>
  <c r="Q259" i="10"/>
  <c r="Q260" i="10"/>
  <c r="Q261" i="10"/>
  <c r="Q262" i="10"/>
  <c r="Q263" i="10"/>
  <c r="Q264" i="10"/>
  <c r="Q265" i="10"/>
  <c r="Q266" i="10"/>
  <c r="Q267" i="10"/>
  <c r="Q268" i="10"/>
  <c r="Q269" i="10"/>
  <c r="Q270" i="10"/>
  <c r="Q271" i="10"/>
  <c r="Q272" i="10"/>
  <c r="Q273" i="10"/>
  <c r="Q274" i="10"/>
  <c r="Q275" i="10"/>
  <c r="Q276" i="10"/>
  <c r="Q277" i="10"/>
  <c r="Q278" i="10"/>
  <c r="Q279" i="10"/>
  <c r="Q280" i="10"/>
  <c r="Q281" i="10"/>
  <c r="Q282" i="10"/>
  <c r="Q283" i="10"/>
  <c r="Q284" i="10"/>
  <c r="Q285" i="10"/>
  <c r="Q286" i="10"/>
  <c r="Q287" i="10"/>
  <c r="Q288" i="10"/>
  <c r="Q289" i="10"/>
  <c r="Q290" i="10"/>
  <c r="Q291" i="10"/>
  <c r="Q292" i="10"/>
  <c r="Q293" i="10"/>
  <c r="Q294" i="10"/>
  <c r="Q295" i="10"/>
  <c r="Q296" i="10"/>
  <c r="Q297" i="10"/>
  <c r="Q298" i="10"/>
  <c r="Q299" i="10"/>
  <c r="J12" i="16"/>
  <c r="P299" i="10" l="1"/>
  <c r="N299" i="10"/>
  <c r="M299" i="10"/>
  <c r="L299" i="10"/>
  <c r="K299" i="10"/>
  <c r="J299" i="10"/>
  <c r="I299" i="10"/>
  <c r="O299" i="10" s="1"/>
  <c r="H299" i="10"/>
  <c r="G299" i="10"/>
  <c r="P298" i="10"/>
  <c r="O298" i="10"/>
  <c r="N298" i="10"/>
  <c r="M298" i="10"/>
  <c r="L298" i="10"/>
  <c r="K298" i="10"/>
  <c r="J298" i="10"/>
  <c r="I298" i="10"/>
  <c r="H298" i="10"/>
  <c r="G298" i="10"/>
  <c r="P297" i="10"/>
  <c r="N297" i="10"/>
  <c r="M297" i="10"/>
  <c r="L297" i="10"/>
  <c r="K297" i="10"/>
  <c r="J297" i="10"/>
  <c r="I297" i="10"/>
  <c r="O297" i="10" s="1"/>
  <c r="H297" i="10"/>
  <c r="G297" i="10"/>
  <c r="P296" i="10"/>
  <c r="O296" i="10"/>
  <c r="N296" i="10"/>
  <c r="M296" i="10"/>
  <c r="L296" i="10"/>
  <c r="K296" i="10"/>
  <c r="J296" i="10"/>
  <c r="I296" i="10"/>
  <c r="H296" i="10"/>
  <c r="G296" i="10"/>
  <c r="P295" i="10"/>
  <c r="N295" i="10"/>
  <c r="M295" i="10"/>
  <c r="L295" i="10"/>
  <c r="K295" i="10"/>
  <c r="J295" i="10"/>
  <c r="I295" i="10"/>
  <c r="O295" i="10" s="1"/>
  <c r="H295" i="10"/>
  <c r="G295" i="10"/>
  <c r="P294" i="10"/>
  <c r="O294" i="10"/>
  <c r="N294" i="10"/>
  <c r="M294" i="10"/>
  <c r="L294" i="10"/>
  <c r="K294" i="10"/>
  <c r="J294" i="10"/>
  <c r="I294" i="10"/>
  <c r="H294" i="10"/>
  <c r="G294" i="10"/>
  <c r="P293" i="10"/>
  <c r="N293" i="10"/>
  <c r="M293" i="10"/>
  <c r="L293" i="10"/>
  <c r="K293" i="10"/>
  <c r="J293" i="10"/>
  <c r="I293" i="10"/>
  <c r="O293" i="10" s="1"/>
  <c r="H293" i="10"/>
  <c r="G293" i="10"/>
  <c r="P292" i="10"/>
  <c r="O292" i="10"/>
  <c r="N292" i="10"/>
  <c r="M292" i="10"/>
  <c r="L292" i="10"/>
  <c r="K292" i="10"/>
  <c r="J292" i="10"/>
  <c r="I292" i="10"/>
  <c r="H292" i="10"/>
  <c r="G292" i="10"/>
  <c r="P291" i="10"/>
  <c r="N291" i="10"/>
  <c r="M291" i="10"/>
  <c r="L291" i="10"/>
  <c r="K291" i="10"/>
  <c r="J291" i="10"/>
  <c r="I291" i="10"/>
  <c r="O291" i="10" s="1"/>
  <c r="H291" i="10"/>
  <c r="G291" i="10"/>
  <c r="P290" i="10"/>
  <c r="O290" i="10"/>
  <c r="N290" i="10"/>
  <c r="M290" i="10"/>
  <c r="L290" i="10"/>
  <c r="K290" i="10"/>
  <c r="J290" i="10"/>
  <c r="I290" i="10"/>
  <c r="H290" i="10"/>
  <c r="G290" i="10"/>
  <c r="P289" i="10"/>
  <c r="N289" i="10"/>
  <c r="M289" i="10"/>
  <c r="L289" i="10"/>
  <c r="K289" i="10"/>
  <c r="J289" i="10"/>
  <c r="I289" i="10"/>
  <c r="O289" i="10" s="1"/>
  <c r="H289" i="10"/>
  <c r="G289" i="10"/>
  <c r="P288" i="10"/>
  <c r="O288" i="10"/>
  <c r="N288" i="10"/>
  <c r="M288" i="10"/>
  <c r="L288" i="10"/>
  <c r="K288" i="10"/>
  <c r="J288" i="10"/>
  <c r="I288" i="10"/>
  <c r="H288" i="10"/>
  <c r="G288" i="10"/>
  <c r="P287" i="10"/>
  <c r="N287" i="10"/>
  <c r="M287" i="10"/>
  <c r="L287" i="10"/>
  <c r="K287" i="10"/>
  <c r="J287" i="10"/>
  <c r="I287" i="10"/>
  <c r="O287" i="10" s="1"/>
  <c r="H287" i="10"/>
  <c r="G287" i="10"/>
  <c r="P286" i="10"/>
  <c r="O286" i="10"/>
  <c r="N286" i="10"/>
  <c r="M286" i="10"/>
  <c r="L286" i="10"/>
  <c r="K286" i="10"/>
  <c r="J286" i="10"/>
  <c r="I286" i="10"/>
  <c r="H286" i="10"/>
  <c r="G286" i="10"/>
  <c r="P285" i="10"/>
  <c r="N285" i="10"/>
  <c r="M285" i="10"/>
  <c r="L285" i="10"/>
  <c r="K285" i="10"/>
  <c r="J285" i="10"/>
  <c r="I285" i="10"/>
  <c r="O285" i="10" s="1"/>
  <c r="H285" i="10"/>
  <c r="G285" i="10"/>
  <c r="P284" i="10"/>
  <c r="O284" i="10"/>
  <c r="N284" i="10"/>
  <c r="M284" i="10"/>
  <c r="L284" i="10"/>
  <c r="K284" i="10"/>
  <c r="J284" i="10"/>
  <c r="I284" i="10"/>
  <c r="H284" i="10"/>
  <c r="G284" i="10"/>
  <c r="P283" i="10"/>
  <c r="N283" i="10"/>
  <c r="M283" i="10"/>
  <c r="L283" i="10"/>
  <c r="K283" i="10"/>
  <c r="J283" i="10"/>
  <c r="I283" i="10"/>
  <c r="O283" i="10" s="1"/>
  <c r="H283" i="10"/>
  <c r="G283" i="10"/>
  <c r="P282" i="10"/>
  <c r="O282" i="10"/>
  <c r="N282" i="10"/>
  <c r="M282" i="10"/>
  <c r="L282" i="10"/>
  <c r="K282" i="10"/>
  <c r="J282" i="10"/>
  <c r="I282" i="10"/>
  <c r="H282" i="10"/>
  <c r="G282" i="10"/>
  <c r="P281" i="10"/>
  <c r="N281" i="10"/>
  <c r="M281" i="10"/>
  <c r="L281" i="10"/>
  <c r="K281" i="10"/>
  <c r="J281" i="10"/>
  <c r="I281" i="10"/>
  <c r="O281" i="10" s="1"/>
  <c r="H281" i="10"/>
  <c r="G281" i="10"/>
  <c r="P280" i="10"/>
  <c r="O280" i="10"/>
  <c r="N280" i="10"/>
  <c r="M280" i="10"/>
  <c r="L280" i="10"/>
  <c r="K280" i="10"/>
  <c r="J280" i="10"/>
  <c r="I280" i="10"/>
  <c r="H280" i="10"/>
  <c r="G280" i="10"/>
  <c r="P279" i="10"/>
  <c r="N279" i="10"/>
  <c r="M279" i="10"/>
  <c r="L279" i="10"/>
  <c r="K279" i="10"/>
  <c r="J279" i="10"/>
  <c r="I279" i="10"/>
  <c r="O279" i="10" s="1"/>
  <c r="H279" i="10"/>
  <c r="G279" i="10"/>
  <c r="P278" i="10"/>
  <c r="O278" i="10"/>
  <c r="N278" i="10"/>
  <c r="M278" i="10"/>
  <c r="L278" i="10"/>
  <c r="K278" i="10"/>
  <c r="J278" i="10"/>
  <c r="I278" i="10"/>
  <c r="H278" i="10"/>
  <c r="G278" i="10"/>
  <c r="P277" i="10"/>
  <c r="N277" i="10"/>
  <c r="M277" i="10"/>
  <c r="L277" i="10"/>
  <c r="K277" i="10"/>
  <c r="J277" i="10"/>
  <c r="I277" i="10"/>
  <c r="O277" i="10" s="1"/>
  <c r="H277" i="10"/>
  <c r="G277" i="10"/>
  <c r="P276" i="10"/>
  <c r="O276" i="10"/>
  <c r="N276" i="10"/>
  <c r="M276" i="10"/>
  <c r="L276" i="10"/>
  <c r="K276" i="10"/>
  <c r="J276" i="10"/>
  <c r="I276" i="10"/>
  <c r="H276" i="10"/>
  <c r="G276" i="10"/>
  <c r="P275" i="10"/>
  <c r="N275" i="10"/>
  <c r="M275" i="10"/>
  <c r="L275" i="10"/>
  <c r="K275" i="10"/>
  <c r="J275" i="10"/>
  <c r="I275" i="10"/>
  <c r="O275" i="10" s="1"/>
  <c r="H275" i="10"/>
  <c r="G275" i="10"/>
  <c r="P274" i="10"/>
  <c r="O274" i="10"/>
  <c r="N274" i="10"/>
  <c r="M274" i="10"/>
  <c r="L274" i="10"/>
  <c r="K274" i="10"/>
  <c r="J274" i="10"/>
  <c r="I274" i="10"/>
  <c r="H274" i="10"/>
  <c r="G274" i="10"/>
  <c r="P273" i="10"/>
  <c r="N273" i="10"/>
  <c r="M273" i="10"/>
  <c r="L273" i="10"/>
  <c r="K273" i="10"/>
  <c r="J273" i="10"/>
  <c r="I273" i="10"/>
  <c r="O273" i="10" s="1"/>
  <c r="H273" i="10"/>
  <c r="G273" i="10"/>
  <c r="P272" i="10"/>
  <c r="O272" i="10"/>
  <c r="N272" i="10"/>
  <c r="M272" i="10"/>
  <c r="L272" i="10"/>
  <c r="K272" i="10"/>
  <c r="J272" i="10"/>
  <c r="I272" i="10"/>
  <c r="H272" i="10"/>
  <c r="G272" i="10"/>
  <c r="P271" i="10"/>
  <c r="N271" i="10"/>
  <c r="M271" i="10"/>
  <c r="L271" i="10"/>
  <c r="K271" i="10"/>
  <c r="J271" i="10"/>
  <c r="I271" i="10"/>
  <c r="O271" i="10" s="1"/>
  <c r="H271" i="10"/>
  <c r="G271" i="10"/>
  <c r="P270" i="10"/>
  <c r="O270" i="10"/>
  <c r="N270" i="10"/>
  <c r="M270" i="10"/>
  <c r="L270" i="10"/>
  <c r="K270" i="10"/>
  <c r="J270" i="10"/>
  <c r="I270" i="10"/>
  <c r="H270" i="10"/>
  <c r="G270" i="10"/>
  <c r="P269" i="10"/>
  <c r="N269" i="10"/>
  <c r="M269" i="10"/>
  <c r="L269" i="10"/>
  <c r="K269" i="10"/>
  <c r="J269" i="10"/>
  <c r="I269" i="10"/>
  <c r="O269" i="10" s="1"/>
  <c r="H269" i="10"/>
  <c r="G269" i="10"/>
  <c r="P268" i="10"/>
  <c r="O268" i="10"/>
  <c r="N268" i="10"/>
  <c r="M268" i="10"/>
  <c r="L268" i="10"/>
  <c r="K268" i="10"/>
  <c r="J268" i="10"/>
  <c r="I268" i="10"/>
  <c r="H268" i="10"/>
  <c r="G268" i="10"/>
  <c r="P267" i="10"/>
  <c r="N267" i="10"/>
  <c r="M267" i="10"/>
  <c r="L267" i="10"/>
  <c r="K267" i="10"/>
  <c r="J267" i="10"/>
  <c r="I267" i="10"/>
  <c r="O267" i="10" s="1"/>
  <c r="H267" i="10"/>
  <c r="G267" i="10"/>
  <c r="P266" i="10"/>
  <c r="O266" i="10"/>
  <c r="N266" i="10"/>
  <c r="M266" i="10"/>
  <c r="L266" i="10"/>
  <c r="K266" i="10"/>
  <c r="J266" i="10"/>
  <c r="I266" i="10"/>
  <c r="H266" i="10"/>
  <c r="G266" i="10"/>
  <c r="P265" i="10"/>
  <c r="N265" i="10"/>
  <c r="M265" i="10"/>
  <c r="L265" i="10"/>
  <c r="K265" i="10"/>
  <c r="J265" i="10"/>
  <c r="I265" i="10"/>
  <c r="O265" i="10" s="1"/>
  <c r="H265" i="10"/>
  <c r="G265" i="10"/>
  <c r="P264" i="10"/>
  <c r="O264" i="10"/>
  <c r="N264" i="10"/>
  <c r="M264" i="10"/>
  <c r="L264" i="10"/>
  <c r="K264" i="10"/>
  <c r="J264" i="10"/>
  <c r="I264" i="10"/>
  <c r="H264" i="10"/>
  <c r="G264" i="10"/>
  <c r="P263" i="10"/>
  <c r="N263" i="10"/>
  <c r="M263" i="10"/>
  <c r="L263" i="10"/>
  <c r="K263" i="10"/>
  <c r="J263" i="10"/>
  <c r="I263" i="10"/>
  <c r="O263" i="10" s="1"/>
  <c r="H263" i="10"/>
  <c r="G263" i="10"/>
  <c r="P262" i="10"/>
  <c r="O262" i="10"/>
  <c r="N262" i="10"/>
  <c r="M262" i="10"/>
  <c r="L262" i="10"/>
  <c r="K262" i="10"/>
  <c r="J262" i="10"/>
  <c r="I262" i="10"/>
  <c r="H262" i="10"/>
  <c r="G262" i="10"/>
  <c r="P261" i="10"/>
  <c r="N261" i="10"/>
  <c r="M261" i="10"/>
  <c r="L261" i="10"/>
  <c r="K261" i="10"/>
  <c r="J261" i="10"/>
  <c r="I261" i="10"/>
  <c r="O261" i="10" s="1"/>
  <c r="H261" i="10"/>
  <c r="G261" i="10"/>
  <c r="P260" i="10"/>
  <c r="O260" i="10"/>
  <c r="N260" i="10"/>
  <c r="M260" i="10"/>
  <c r="L260" i="10"/>
  <c r="K260" i="10"/>
  <c r="J260" i="10"/>
  <c r="I260" i="10"/>
  <c r="H260" i="10"/>
  <c r="G260" i="10"/>
  <c r="P259" i="10"/>
  <c r="N259" i="10"/>
  <c r="M259" i="10"/>
  <c r="L259" i="10"/>
  <c r="K259" i="10"/>
  <c r="J259" i="10"/>
  <c r="I259" i="10"/>
  <c r="O259" i="10" s="1"/>
  <c r="H259" i="10"/>
  <c r="G259" i="10"/>
  <c r="P258" i="10"/>
  <c r="O258" i="10"/>
  <c r="N258" i="10"/>
  <c r="M258" i="10"/>
  <c r="L258" i="10"/>
  <c r="K258" i="10"/>
  <c r="J258" i="10"/>
  <c r="I258" i="10"/>
  <c r="H258" i="10"/>
  <c r="G258" i="10"/>
  <c r="P257" i="10"/>
  <c r="N257" i="10"/>
  <c r="M257" i="10"/>
  <c r="L257" i="10"/>
  <c r="K257" i="10"/>
  <c r="J257" i="10"/>
  <c r="I257" i="10"/>
  <c r="O257" i="10" s="1"/>
  <c r="H257" i="10"/>
  <c r="G257" i="10"/>
  <c r="P256" i="10"/>
  <c r="O256" i="10"/>
  <c r="N256" i="10"/>
  <c r="M256" i="10"/>
  <c r="L256" i="10"/>
  <c r="K256" i="10"/>
  <c r="J256" i="10"/>
  <c r="I256" i="10"/>
  <c r="H256" i="10"/>
  <c r="G256" i="10"/>
  <c r="P255" i="10"/>
  <c r="N255" i="10"/>
  <c r="M255" i="10"/>
  <c r="L255" i="10"/>
  <c r="K255" i="10"/>
  <c r="J255" i="10"/>
  <c r="I255" i="10"/>
  <c r="O255" i="10" s="1"/>
  <c r="H255" i="10"/>
  <c r="G255" i="10"/>
  <c r="P254" i="10"/>
  <c r="O254" i="10"/>
  <c r="N254" i="10"/>
  <c r="M254" i="10"/>
  <c r="L254" i="10"/>
  <c r="K254" i="10"/>
  <c r="J254" i="10"/>
  <c r="I254" i="10"/>
  <c r="H254" i="10"/>
  <c r="G254" i="10"/>
  <c r="P253" i="10"/>
  <c r="N253" i="10"/>
  <c r="M253" i="10"/>
  <c r="L253" i="10"/>
  <c r="K253" i="10"/>
  <c r="J253" i="10"/>
  <c r="I253" i="10"/>
  <c r="O253" i="10" s="1"/>
  <c r="H253" i="10"/>
  <c r="G253" i="10"/>
  <c r="P252" i="10"/>
  <c r="O252" i="10"/>
  <c r="N252" i="10"/>
  <c r="M252" i="10"/>
  <c r="L252" i="10"/>
  <c r="K252" i="10"/>
  <c r="J252" i="10"/>
  <c r="I252" i="10"/>
  <c r="H252" i="10"/>
  <c r="G252" i="10"/>
  <c r="P251" i="10"/>
  <c r="N251" i="10"/>
  <c r="M251" i="10"/>
  <c r="L251" i="10"/>
  <c r="K251" i="10"/>
  <c r="J251" i="10"/>
  <c r="I251" i="10"/>
  <c r="O251" i="10" s="1"/>
  <c r="H251" i="10"/>
  <c r="G251" i="10"/>
  <c r="P250" i="10"/>
  <c r="O250" i="10"/>
  <c r="N250" i="10"/>
  <c r="M250" i="10"/>
  <c r="L250" i="10"/>
  <c r="K250" i="10"/>
  <c r="J250" i="10"/>
  <c r="I250" i="10"/>
  <c r="H250" i="10"/>
  <c r="G250" i="10"/>
  <c r="P249" i="10"/>
  <c r="N249" i="10"/>
  <c r="M249" i="10"/>
  <c r="L249" i="10"/>
  <c r="K249" i="10"/>
  <c r="J249" i="10"/>
  <c r="I249" i="10"/>
  <c r="O249" i="10" s="1"/>
  <c r="H249" i="10"/>
  <c r="G249" i="10"/>
  <c r="P248" i="10"/>
  <c r="O248" i="10"/>
  <c r="N248" i="10"/>
  <c r="M248" i="10"/>
  <c r="L248" i="10"/>
  <c r="K248" i="10"/>
  <c r="J248" i="10"/>
  <c r="I248" i="10"/>
  <c r="H248" i="10"/>
  <c r="G248" i="10"/>
  <c r="P247" i="10"/>
  <c r="N247" i="10"/>
  <c r="M247" i="10"/>
  <c r="L247" i="10"/>
  <c r="K247" i="10"/>
  <c r="J247" i="10"/>
  <c r="I247" i="10"/>
  <c r="O247" i="10" s="1"/>
  <c r="H247" i="10"/>
  <c r="G247" i="10"/>
  <c r="P246" i="10"/>
  <c r="O246" i="10"/>
  <c r="N246" i="10"/>
  <c r="M246" i="10"/>
  <c r="L246" i="10"/>
  <c r="K246" i="10"/>
  <c r="J246" i="10"/>
  <c r="I246" i="10"/>
  <c r="H246" i="10"/>
  <c r="G246" i="10"/>
  <c r="P245" i="10"/>
  <c r="N245" i="10"/>
  <c r="M245" i="10"/>
  <c r="L245" i="10"/>
  <c r="K245" i="10"/>
  <c r="J245" i="10"/>
  <c r="I245" i="10"/>
  <c r="O245" i="10" s="1"/>
  <c r="H245" i="10"/>
  <c r="G245" i="10"/>
  <c r="P244" i="10"/>
  <c r="O244" i="10"/>
  <c r="N244" i="10"/>
  <c r="M244" i="10"/>
  <c r="L244" i="10"/>
  <c r="K244" i="10"/>
  <c r="J244" i="10"/>
  <c r="I244" i="10"/>
  <c r="H244" i="10"/>
  <c r="G244" i="10"/>
  <c r="P243" i="10"/>
  <c r="N243" i="10"/>
  <c r="M243" i="10"/>
  <c r="L243" i="10"/>
  <c r="K243" i="10"/>
  <c r="J243" i="10"/>
  <c r="I243" i="10"/>
  <c r="O243" i="10" s="1"/>
  <c r="H243" i="10"/>
  <c r="G243" i="10"/>
  <c r="P242" i="10"/>
  <c r="O242" i="10"/>
  <c r="N242" i="10"/>
  <c r="M242" i="10"/>
  <c r="L242" i="10"/>
  <c r="K242" i="10"/>
  <c r="J242" i="10"/>
  <c r="I242" i="10"/>
  <c r="H242" i="10"/>
  <c r="G242" i="10"/>
  <c r="P241" i="10"/>
  <c r="N241" i="10"/>
  <c r="M241" i="10"/>
  <c r="L241" i="10"/>
  <c r="K241" i="10"/>
  <c r="J241" i="10"/>
  <c r="I241" i="10"/>
  <c r="O241" i="10" s="1"/>
  <c r="H241" i="10"/>
  <c r="G241" i="10"/>
  <c r="P240" i="10"/>
  <c r="O240" i="10"/>
  <c r="N240" i="10"/>
  <c r="M240" i="10"/>
  <c r="L240" i="10"/>
  <c r="K240" i="10"/>
  <c r="J240" i="10"/>
  <c r="I240" i="10"/>
  <c r="H240" i="10"/>
  <c r="G240" i="10"/>
  <c r="P239" i="10"/>
  <c r="N239" i="10"/>
  <c r="M239" i="10"/>
  <c r="L239" i="10"/>
  <c r="K239" i="10"/>
  <c r="J239" i="10"/>
  <c r="I239" i="10"/>
  <c r="O239" i="10" s="1"/>
  <c r="H239" i="10"/>
  <c r="G239" i="10"/>
  <c r="P238" i="10"/>
  <c r="O238" i="10"/>
  <c r="N238" i="10"/>
  <c r="M238" i="10"/>
  <c r="L238" i="10"/>
  <c r="K238" i="10"/>
  <c r="J238" i="10"/>
  <c r="I238" i="10"/>
  <c r="H238" i="10"/>
  <c r="G238" i="10"/>
  <c r="P237" i="10"/>
  <c r="N237" i="10"/>
  <c r="M237" i="10"/>
  <c r="L237" i="10"/>
  <c r="K237" i="10"/>
  <c r="J237" i="10"/>
  <c r="I237" i="10"/>
  <c r="O237" i="10" s="1"/>
  <c r="H237" i="10"/>
  <c r="G237" i="10"/>
  <c r="P236" i="10"/>
  <c r="O236" i="10"/>
  <c r="N236" i="10"/>
  <c r="M236" i="10"/>
  <c r="L236" i="10"/>
  <c r="K236" i="10"/>
  <c r="J236" i="10"/>
  <c r="I236" i="10"/>
  <c r="H236" i="10"/>
  <c r="G236" i="10"/>
  <c r="P235" i="10"/>
  <c r="N235" i="10"/>
  <c r="M235" i="10"/>
  <c r="L235" i="10"/>
  <c r="K235" i="10"/>
  <c r="J235" i="10"/>
  <c r="I235" i="10"/>
  <c r="O235" i="10" s="1"/>
  <c r="H235" i="10"/>
  <c r="G235" i="10"/>
  <c r="P234" i="10"/>
  <c r="O234" i="10"/>
  <c r="N234" i="10"/>
  <c r="M234" i="10"/>
  <c r="L234" i="10"/>
  <c r="K234" i="10"/>
  <c r="J234" i="10"/>
  <c r="I234" i="10"/>
  <c r="H234" i="10"/>
  <c r="G234" i="10"/>
  <c r="P233" i="10"/>
  <c r="N233" i="10"/>
  <c r="M233" i="10"/>
  <c r="L233" i="10"/>
  <c r="K233" i="10"/>
  <c r="J233" i="10"/>
  <c r="I233" i="10"/>
  <c r="O233" i="10" s="1"/>
  <c r="H233" i="10"/>
  <c r="G233" i="10"/>
  <c r="P232" i="10"/>
  <c r="O232" i="10"/>
  <c r="N232" i="10"/>
  <c r="M232" i="10"/>
  <c r="L232" i="10"/>
  <c r="K232" i="10"/>
  <c r="J232" i="10"/>
  <c r="I232" i="10"/>
  <c r="H232" i="10"/>
  <c r="G232" i="10"/>
  <c r="P231" i="10"/>
  <c r="N231" i="10"/>
  <c r="M231" i="10"/>
  <c r="L231" i="10"/>
  <c r="K231" i="10"/>
  <c r="J231" i="10"/>
  <c r="I231" i="10"/>
  <c r="O231" i="10" s="1"/>
  <c r="H231" i="10"/>
  <c r="G231" i="10"/>
  <c r="P230" i="10"/>
  <c r="O230" i="10"/>
  <c r="N230" i="10"/>
  <c r="M230" i="10"/>
  <c r="L230" i="10"/>
  <c r="K230" i="10"/>
  <c r="J230" i="10"/>
  <c r="I230" i="10"/>
  <c r="H230" i="10"/>
  <c r="G230" i="10"/>
  <c r="P229" i="10"/>
  <c r="N229" i="10"/>
  <c r="M229" i="10"/>
  <c r="L229" i="10"/>
  <c r="K229" i="10"/>
  <c r="J229" i="10"/>
  <c r="I229" i="10"/>
  <c r="O229" i="10" s="1"/>
  <c r="H229" i="10"/>
  <c r="G229" i="10"/>
  <c r="P228" i="10"/>
  <c r="O228" i="10"/>
  <c r="N228" i="10"/>
  <c r="M228" i="10"/>
  <c r="L228" i="10"/>
  <c r="K228" i="10"/>
  <c r="J228" i="10"/>
  <c r="I228" i="10"/>
  <c r="H228" i="10"/>
  <c r="G228" i="10"/>
  <c r="P227" i="10"/>
  <c r="N227" i="10"/>
  <c r="M227" i="10"/>
  <c r="L227" i="10"/>
  <c r="K227" i="10"/>
  <c r="J227" i="10"/>
  <c r="I227" i="10"/>
  <c r="O227" i="10" s="1"/>
  <c r="H227" i="10"/>
  <c r="G227" i="10"/>
  <c r="P226" i="10"/>
  <c r="O226" i="10"/>
  <c r="N226" i="10"/>
  <c r="M226" i="10"/>
  <c r="L226" i="10"/>
  <c r="K226" i="10"/>
  <c r="J226" i="10"/>
  <c r="I226" i="10"/>
  <c r="H226" i="10"/>
  <c r="G226" i="10"/>
  <c r="P225" i="10"/>
  <c r="N225" i="10"/>
  <c r="M225" i="10"/>
  <c r="L225" i="10"/>
  <c r="K225" i="10"/>
  <c r="J225" i="10"/>
  <c r="I225" i="10"/>
  <c r="O225" i="10" s="1"/>
  <c r="H225" i="10"/>
  <c r="G225" i="10"/>
  <c r="P224" i="10"/>
  <c r="O224" i="10"/>
  <c r="N224" i="10"/>
  <c r="M224" i="10"/>
  <c r="L224" i="10"/>
  <c r="K224" i="10"/>
  <c r="J224" i="10"/>
  <c r="I224" i="10"/>
  <c r="H224" i="10"/>
  <c r="G224" i="10"/>
  <c r="P223" i="10"/>
  <c r="N223" i="10"/>
  <c r="M223" i="10"/>
  <c r="L223" i="10"/>
  <c r="K223" i="10"/>
  <c r="J223" i="10"/>
  <c r="I223" i="10"/>
  <c r="O223" i="10" s="1"/>
  <c r="H223" i="10"/>
  <c r="G223" i="10"/>
  <c r="P222" i="10"/>
  <c r="O222" i="10"/>
  <c r="N222" i="10"/>
  <c r="M222" i="10"/>
  <c r="L222" i="10"/>
  <c r="K222" i="10"/>
  <c r="J222" i="10"/>
  <c r="I222" i="10"/>
  <c r="H222" i="10"/>
  <c r="G222" i="10"/>
  <c r="P221" i="10"/>
  <c r="N221" i="10"/>
  <c r="M221" i="10"/>
  <c r="L221" i="10"/>
  <c r="K221" i="10"/>
  <c r="J221" i="10"/>
  <c r="I221" i="10"/>
  <c r="O221" i="10" s="1"/>
  <c r="H221" i="10"/>
  <c r="G221" i="10"/>
  <c r="P220" i="10"/>
  <c r="O220" i="10"/>
  <c r="N220" i="10"/>
  <c r="M220" i="10"/>
  <c r="L220" i="10"/>
  <c r="K220" i="10"/>
  <c r="J220" i="10"/>
  <c r="I220" i="10"/>
  <c r="H220" i="10"/>
  <c r="G220" i="10"/>
  <c r="P219" i="10"/>
  <c r="N219" i="10"/>
  <c r="M219" i="10"/>
  <c r="L219" i="10"/>
  <c r="K219" i="10"/>
  <c r="J219" i="10"/>
  <c r="I219" i="10"/>
  <c r="O219" i="10" s="1"/>
  <c r="H219" i="10"/>
  <c r="G219" i="10"/>
  <c r="P218" i="10"/>
  <c r="O218" i="10"/>
  <c r="N218" i="10"/>
  <c r="M218" i="10"/>
  <c r="L218" i="10"/>
  <c r="K218" i="10"/>
  <c r="J218" i="10"/>
  <c r="I218" i="10"/>
  <c r="H218" i="10"/>
  <c r="G218" i="10"/>
  <c r="P217" i="10"/>
  <c r="N217" i="10"/>
  <c r="M217" i="10"/>
  <c r="L217" i="10"/>
  <c r="K217" i="10"/>
  <c r="J217" i="10"/>
  <c r="I217" i="10"/>
  <c r="O217" i="10" s="1"/>
  <c r="H217" i="10"/>
  <c r="G217" i="10"/>
  <c r="P216" i="10"/>
  <c r="O216" i="10"/>
  <c r="N216" i="10"/>
  <c r="M216" i="10"/>
  <c r="L216" i="10"/>
  <c r="K216" i="10"/>
  <c r="J216" i="10"/>
  <c r="I216" i="10"/>
  <c r="H216" i="10"/>
  <c r="G216" i="10"/>
  <c r="P215" i="10"/>
  <c r="N215" i="10"/>
  <c r="M215" i="10"/>
  <c r="L215" i="10"/>
  <c r="K215" i="10"/>
  <c r="J215" i="10"/>
  <c r="I215" i="10"/>
  <c r="O215" i="10" s="1"/>
  <c r="H215" i="10"/>
  <c r="G215" i="10"/>
  <c r="P214" i="10"/>
  <c r="O214" i="10"/>
  <c r="N214" i="10"/>
  <c r="M214" i="10"/>
  <c r="L214" i="10"/>
  <c r="K214" i="10"/>
  <c r="J214" i="10"/>
  <c r="I214" i="10"/>
  <c r="H214" i="10"/>
  <c r="G214" i="10"/>
  <c r="P213" i="10"/>
  <c r="N213" i="10"/>
  <c r="M213" i="10"/>
  <c r="L213" i="10"/>
  <c r="K213" i="10"/>
  <c r="J213" i="10"/>
  <c r="I213" i="10"/>
  <c r="O213" i="10" s="1"/>
  <c r="H213" i="10"/>
  <c r="G213" i="10"/>
  <c r="P212" i="10"/>
  <c r="O212" i="10"/>
  <c r="N212" i="10"/>
  <c r="M212" i="10"/>
  <c r="L212" i="10"/>
  <c r="K212" i="10"/>
  <c r="J212" i="10"/>
  <c r="I212" i="10"/>
  <c r="H212" i="10"/>
  <c r="G212" i="10"/>
  <c r="P211" i="10"/>
  <c r="N211" i="10"/>
  <c r="M211" i="10"/>
  <c r="L211" i="10"/>
  <c r="K211" i="10"/>
  <c r="J211" i="10"/>
  <c r="I211" i="10"/>
  <c r="O211" i="10" s="1"/>
  <c r="H211" i="10"/>
  <c r="G211" i="10"/>
  <c r="P210" i="10"/>
  <c r="O210" i="10"/>
  <c r="N210" i="10"/>
  <c r="M210" i="10"/>
  <c r="L210" i="10"/>
  <c r="K210" i="10"/>
  <c r="J210" i="10"/>
  <c r="I210" i="10"/>
  <c r="H210" i="10"/>
  <c r="G210" i="10"/>
  <c r="P209" i="10"/>
  <c r="N209" i="10"/>
  <c r="M209" i="10"/>
  <c r="L209" i="10"/>
  <c r="K209" i="10"/>
  <c r="J209" i="10"/>
  <c r="I209" i="10"/>
  <c r="O209" i="10" s="1"/>
  <c r="H209" i="10"/>
  <c r="G209" i="10"/>
  <c r="P208" i="10"/>
  <c r="O208" i="10"/>
  <c r="N208" i="10"/>
  <c r="M208" i="10"/>
  <c r="L208" i="10"/>
  <c r="K208" i="10"/>
  <c r="J208" i="10"/>
  <c r="I208" i="10"/>
  <c r="H208" i="10"/>
  <c r="G208" i="10"/>
  <c r="P207" i="10"/>
  <c r="N207" i="10"/>
  <c r="M207" i="10"/>
  <c r="L207" i="10"/>
  <c r="K207" i="10"/>
  <c r="J207" i="10"/>
  <c r="I207" i="10"/>
  <c r="O207" i="10" s="1"/>
  <c r="H207" i="10"/>
  <c r="G207" i="10"/>
  <c r="P206" i="10"/>
  <c r="O206" i="10"/>
  <c r="N206" i="10"/>
  <c r="M206" i="10"/>
  <c r="L206" i="10"/>
  <c r="K206" i="10"/>
  <c r="J206" i="10"/>
  <c r="I206" i="10"/>
  <c r="H206" i="10"/>
  <c r="G206" i="10"/>
  <c r="P205" i="10"/>
  <c r="N205" i="10"/>
  <c r="M205" i="10"/>
  <c r="L205" i="10"/>
  <c r="K205" i="10"/>
  <c r="J205" i="10"/>
  <c r="I205" i="10"/>
  <c r="O205" i="10" s="1"/>
  <c r="H205" i="10"/>
  <c r="G205" i="10"/>
  <c r="P204" i="10"/>
  <c r="O204" i="10"/>
  <c r="N204" i="10"/>
  <c r="M204" i="10"/>
  <c r="L204" i="10"/>
  <c r="K204" i="10"/>
  <c r="J204" i="10"/>
  <c r="I204" i="10"/>
  <c r="H204" i="10"/>
  <c r="G204" i="10"/>
  <c r="P203" i="10"/>
  <c r="N203" i="10"/>
  <c r="M203" i="10"/>
  <c r="L203" i="10"/>
  <c r="K203" i="10"/>
  <c r="J203" i="10"/>
  <c r="I203" i="10"/>
  <c r="O203" i="10" s="1"/>
  <c r="H203" i="10"/>
  <c r="G203" i="10"/>
  <c r="P202" i="10"/>
  <c r="O202" i="10"/>
  <c r="N202" i="10"/>
  <c r="M202" i="10"/>
  <c r="L202" i="10"/>
  <c r="K202" i="10"/>
  <c r="J202" i="10"/>
  <c r="I202" i="10"/>
  <c r="H202" i="10"/>
  <c r="G202" i="10"/>
  <c r="P201" i="10"/>
  <c r="N201" i="10"/>
  <c r="M201" i="10"/>
  <c r="L201" i="10"/>
  <c r="K201" i="10"/>
  <c r="J201" i="10"/>
  <c r="I201" i="10"/>
  <c r="O201" i="10" s="1"/>
  <c r="H201" i="10"/>
  <c r="G201" i="10"/>
  <c r="P200" i="10"/>
  <c r="O200" i="10"/>
  <c r="N200" i="10"/>
  <c r="M200" i="10"/>
  <c r="L200" i="10"/>
  <c r="K200" i="10"/>
  <c r="J200" i="10"/>
  <c r="I200" i="10"/>
  <c r="H200" i="10"/>
  <c r="G200" i="10"/>
  <c r="P199" i="10"/>
  <c r="N199" i="10"/>
  <c r="M199" i="10"/>
  <c r="L199" i="10"/>
  <c r="K199" i="10"/>
  <c r="J199" i="10"/>
  <c r="I199" i="10"/>
  <c r="O199" i="10" s="1"/>
  <c r="H199" i="10"/>
  <c r="G199" i="10"/>
  <c r="P198" i="10"/>
  <c r="O198" i="10"/>
  <c r="N198" i="10"/>
  <c r="M198" i="10"/>
  <c r="L198" i="10"/>
  <c r="K198" i="10"/>
  <c r="J198" i="10"/>
  <c r="I198" i="10"/>
  <c r="H198" i="10"/>
  <c r="G198" i="10"/>
  <c r="P197" i="10"/>
  <c r="N197" i="10"/>
  <c r="M197" i="10"/>
  <c r="L197" i="10"/>
  <c r="K197" i="10"/>
  <c r="J197" i="10"/>
  <c r="I197" i="10"/>
  <c r="O197" i="10" s="1"/>
  <c r="H197" i="10"/>
  <c r="G197" i="10"/>
  <c r="P196" i="10"/>
  <c r="O196" i="10"/>
  <c r="N196" i="10"/>
  <c r="M196" i="10"/>
  <c r="L196" i="10"/>
  <c r="K196" i="10"/>
  <c r="J196" i="10"/>
  <c r="I196" i="10"/>
  <c r="H196" i="10"/>
  <c r="G196" i="10"/>
  <c r="P195" i="10"/>
  <c r="N195" i="10"/>
  <c r="M195" i="10"/>
  <c r="L195" i="10"/>
  <c r="K195" i="10"/>
  <c r="J195" i="10"/>
  <c r="I195" i="10"/>
  <c r="O195" i="10" s="1"/>
  <c r="H195" i="10"/>
  <c r="G195" i="10"/>
  <c r="P194" i="10"/>
  <c r="O194" i="10"/>
  <c r="N194" i="10"/>
  <c r="M194" i="10"/>
  <c r="L194" i="10"/>
  <c r="K194" i="10"/>
  <c r="J194" i="10"/>
  <c r="I194" i="10"/>
  <c r="H194" i="10"/>
  <c r="G194" i="10"/>
  <c r="P193" i="10"/>
  <c r="N193" i="10"/>
  <c r="M193" i="10"/>
  <c r="L193" i="10"/>
  <c r="K193" i="10"/>
  <c r="J193" i="10"/>
  <c r="I193" i="10"/>
  <c r="O193" i="10" s="1"/>
  <c r="H193" i="10"/>
  <c r="G193" i="10"/>
  <c r="P192" i="10"/>
  <c r="O192" i="10"/>
  <c r="N192" i="10"/>
  <c r="M192" i="10"/>
  <c r="L192" i="10"/>
  <c r="K192" i="10"/>
  <c r="J192" i="10"/>
  <c r="I192" i="10"/>
  <c r="H192" i="10"/>
  <c r="G192" i="10"/>
  <c r="P191" i="10"/>
  <c r="N191" i="10"/>
  <c r="M191" i="10"/>
  <c r="L191" i="10"/>
  <c r="K191" i="10"/>
  <c r="J191" i="10"/>
  <c r="I191" i="10"/>
  <c r="O191" i="10" s="1"/>
  <c r="H191" i="10"/>
  <c r="G191" i="10"/>
  <c r="P190" i="10"/>
  <c r="O190" i="10"/>
  <c r="N190" i="10"/>
  <c r="M190" i="10"/>
  <c r="L190" i="10"/>
  <c r="K190" i="10"/>
  <c r="J190" i="10"/>
  <c r="I190" i="10"/>
  <c r="H190" i="10"/>
  <c r="G190" i="10"/>
  <c r="P189" i="10"/>
  <c r="N189" i="10"/>
  <c r="M189" i="10"/>
  <c r="L189" i="10"/>
  <c r="K189" i="10"/>
  <c r="J189" i="10"/>
  <c r="I189" i="10"/>
  <c r="O189" i="10" s="1"/>
  <c r="H189" i="10"/>
  <c r="G189" i="10"/>
  <c r="P188" i="10"/>
  <c r="O188" i="10"/>
  <c r="N188" i="10"/>
  <c r="M188" i="10"/>
  <c r="L188" i="10"/>
  <c r="K188" i="10"/>
  <c r="J188" i="10"/>
  <c r="I188" i="10"/>
  <c r="H188" i="10"/>
  <c r="G188" i="10"/>
  <c r="P187" i="10"/>
  <c r="N187" i="10"/>
  <c r="M187" i="10"/>
  <c r="L187" i="10"/>
  <c r="K187" i="10"/>
  <c r="J187" i="10"/>
  <c r="I187" i="10"/>
  <c r="O187" i="10" s="1"/>
  <c r="H187" i="10"/>
  <c r="G187" i="10"/>
  <c r="P186" i="10"/>
  <c r="O186" i="10"/>
  <c r="N186" i="10"/>
  <c r="M186" i="10"/>
  <c r="L186" i="10"/>
  <c r="K186" i="10"/>
  <c r="J186" i="10"/>
  <c r="I186" i="10"/>
  <c r="H186" i="10"/>
  <c r="G186" i="10"/>
  <c r="P185" i="10"/>
  <c r="N185" i="10"/>
  <c r="M185" i="10"/>
  <c r="L185" i="10"/>
  <c r="K185" i="10"/>
  <c r="J185" i="10"/>
  <c r="I185" i="10"/>
  <c r="O185" i="10" s="1"/>
  <c r="H185" i="10"/>
  <c r="G185" i="10"/>
  <c r="P184" i="10"/>
  <c r="O184" i="10"/>
  <c r="N184" i="10"/>
  <c r="M184" i="10"/>
  <c r="L184" i="10"/>
  <c r="K184" i="10"/>
  <c r="J184" i="10"/>
  <c r="I184" i="10"/>
  <c r="H184" i="10"/>
  <c r="G184" i="10"/>
  <c r="P183" i="10"/>
  <c r="N183" i="10"/>
  <c r="M183" i="10"/>
  <c r="L183" i="10"/>
  <c r="K183" i="10"/>
  <c r="J183" i="10"/>
  <c r="I183" i="10"/>
  <c r="O183" i="10" s="1"/>
  <c r="H183" i="10"/>
  <c r="G183" i="10"/>
  <c r="P182" i="10"/>
  <c r="O182" i="10"/>
  <c r="N182" i="10"/>
  <c r="M182" i="10"/>
  <c r="L182" i="10"/>
  <c r="K182" i="10"/>
  <c r="J182" i="10"/>
  <c r="I182" i="10"/>
  <c r="H182" i="10"/>
  <c r="G182" i="10"/>
  <c r="P181" i="10"/>
  <c r="N181" i="10"/>
  <c r="M181" i="10"/>
  <c r="L181" i="10"/>
  <c r="K181" i="10"/>
  <c r="J181" i="10"/>
  <c r="I181" i="10"/>
  <c r="O181" i="10" s="1"/>
  <c r="H181" i="10"/>
  <c r="G181" i="10"/>
  <c r="P180" i="10"/>
  <c r="O180" i="10"/>
  <c r="N180" i="10"/>
  <c r="M180" i="10"/>
  <c r="L180" i="10"/>
  <c r="K180" i="10"/>
  <c r="J180" i="10"/>
  <c r="I180" i="10"/>
  <c r="H180" i="10"/>
  <c r="G180" i="10"/>
  <c r="P179" i="10"/>
  <c r="N179" i="10"/>
  <c r="M179" i="10"/>
  <c r="L179" i="10"/>
  <c r="K179" i="10"/>
  <c r="J179" i="10"/>
  <c r="I179" i="10"/>
  <c r="O179" i="10" s="1"/>
  <c r="H179" i="10"/>
  <c r="G179" i="10"/>
  <c r="P178" i="10"/>
  <c r="O178" i="10"/>
  <c r="N178" i="10"/>
  <c r="M178" i="10"/>
  <c r="L178" i="10"/>
  <c r="K178" i="10"/>
  <c r="J178" i="10"/>
  <c r="I178" i="10"/>
  <c r="H178" i="10"/>
  <c r="G178" i="10"/>
  <c r="P177" i="10"/>
  <c r="N177" i="10"/>
  <c r="M177" i="10"/>
  <c r="L177" i="10"/>
  <c r="K177" i="10"/>
  <c r="J177" i="10"/>
  <c r="I177" i="10"/>
  <c r="O177" i="10" s="1"/>
  <c r="H177" i="10"/>
  <c r="G177" i="10"/>
  <c r="P176" i="10"/>
  <c r="O176" i="10"/>
  <c r="N176" i="10"/>
  <c r="M176" i="10"/>
  <c r="L176" i="10"/>
  <c r="K176" i="10"/>
  <c r="J176" i="10"/>
  <c r="I176" i="10"/>
  <c r="H176" i="10"/>
  <c r="G176" i="10"/>
  <c r="P175" i="10"/>
  <c r="N175" i="10"/>
  <c r="M175" i="10"/>
  <c r="L175" i="10"/>
  <c r="K175" i="10"/>
  <c r="J175" i="10"/>
  <c r="I175" i="10"/>
  <c r="O175" i="10" s="1"/>
  <c r="H175" i="10"/>
  <c r="G175" i="10"/>
  <c r="P174" i="10"/>
  <c r="O174" i="10"/>
  <c r="N174" i="10"/>
  <c r="M174" i="10"/>
  <c r="L174" i="10"/>
  <c r="K174" i="10"/>
  <c r="J174" i="10"/>
  <c r="I174" i="10"/>
  <c r="H174" i="10"/>
  <c r="G174" i="10"/>
  <c r="P173" i="10"/>
  <c r="N173" i="10"/>
  <c r="M173" i="10"/>
  <c r="L173" i="10"/>
  <c r="K173" i="10"/>
  <c r="J173" i="10"/>
  <c r="I173" i="10"/>
  <c r="O173" i="10" s="1"/>
  <c r="H173" i="10"/>
  <c r="G173" i="10"/>
  <c r="P172" i="10"/>
  <c r="O172" i="10"/>
  <c r="N172" i="10"/>
  <c r="M172" i="10"/>
  <c r="L172" i="10"/>
  <c r="K172" i="10"/>
  <c r="J172" i="10"/>
  <c r="I172" i="10"/>
  <c r="H172" i="10"/>
  <c r="G172" i="10"/>
  <c r="P171" i="10"/>
  <c r="N171" i="10"/>
  <c r="M171" i="10"/>
  <c r="L171" i="10"/>
  <c r="K171" i="10"/>
  <c r="J171" i="10"/>
  <c r="I171" i="10"/>
  <c r="O171" i="10" s="1"/>
  <c r="H171" i="10"/>
  <c r="G171" i="10"/>
  <c r="P170" i="10"/>
  <c r="O170" i="10"/>
  <c r="N170" i="10"/>
  <c r="M170" i="10"/>
  <c r="L170" i="10"/>
  <c r="K170" i="10"/>
  <c r="J170" i="10"/>
  <c r="I170" i="10"/>
  <c r="H170" i="10"/>
  <c r="G170" i="10"/>
  <c r="P169" i="10"/>
  <c r="N169" i="10"/>
  <c r="M169" i="10"/>
  <c r="L169" i="10"/>
  <c r="K169" i="10"/>
  <c r="J169" i="10"/>
  <c r="I169" i="10"/>
  <c r="O169" i="10" s="1"/>
  <c r="H169" i="10"/>
  <c r="G169" i="10"/>
  <c r="P168" i="10"/>
  <c r="O168" i="10"/>
  <c r="N168" i="10"/>
  <c r="M168" i="10"/>
  <c r="L168" i="10"/>
  <c r="K168" i="10"/>
  <c r="J168" i="10"/>
  <c r="I168" i="10"/>
  <c r="H168" i="10"/>
  <c r="G168" i="10"/>
  <c r="P167" i="10"/>
  <c r="N167" i="10"/>
  <c r="M167" i="10"/>
  <c r="L167" i="10"/>
  <c r="K167" i="10"/>
  <c r="J167" i="10"/>
  <c r="I167" i="10"/>
  <c r="O167" i="10" s="1"/>
  <c r="H167" i="10"/>
  <c r="G167" i="10"/>
  <c r="P166" i="10"/>
  <c r="O166" i="10"/>
  <c r="N166" i="10"/>
  <c r="M166" i="10"/>
  <c r="L166" i="10"/>
  <c r="K166" i="10"/>
  <c r="J166" i="10"/>
  <c r="I166" i="10"/>
  <c r="H166" i="10"/>
  <c r="G166" i="10"/>
  <c r="P165" i="10"/>
  <c r="N165" i="10"/>
  <c r="M165" i="10"/>
  <c r="L165" i="10"/>
  <c r="K165" i="10"/>
  <c r="J165" i="10"/>
  <c r="I165" i="10"/>
  <c r="O165" i="10" s="1"/>
  <c r="H165" i="10"/>
  <c r="G165" i="10"/>
  <c r="P164" i="10"/>
  <c r="O164" i="10"/>
  <c r="N164" i="10"/>
  <c r="M164" i="10"/>
  <c r="L164" i="10"/>
  <c r="K164" i="10"/>
  <c r="J164" i="10"/>
  <c r="I164" i="10"/>
  <c r="H164" i="10"/>
  <c r="G164" i="10"/>
  <c r="P163" i="10"/>
  <c r="N163" i="10"/>
  <c r="M163" i="10"/>
  <c r="L163" i="10"/>
  <c r="K163" i="10"/>
  <c r="J163" i="10"/>
  <c r="I163" i="10"/>
  <c r="O163" i="10" s="1"/>
  <c r="H163" i="10"/>
  <c r="G163" i="10"/>
  <c r="P162" i="10"/>
  <c r="O162" i="10"/>
  <c r="N162" i="10"/>
  <c r="M162" i="10"/>
  <c r="L162" i="10"/>
  <c r="K162" i="10"/>
  <c r="J162" i="10"/>
  <c r="I162" i="10"/>
  <c r="H162" i="10"/>
  <c r="G162" i="10"/>
  <c r="P161" i="10"/>
  <c r="N161" i="10"/>
  <c r="M161" i="10"/>
  <c r="L161" i="10"/>
  <c r="K161" i="10"/>
  <c r="J161" i="10"/>
  <c r="I161" i="10"/>
  <c r="O161" i="10" s="1"/>
  <c r="H161" i="10"/>
  <c r="G161" i="10"/>
  <c r="P160" i="10"/>
  <c r="O160" i="10"/>
  <c r="N160" i="10"/>
  <c r="M160" i="10"/>
  <c r="L160" i="10"/>
  <c r="K160" i="10"/>
  <c r="J160" i="10"/>
  <c r="I160" i="10"/>
  <c r="H160" i="10"/>
  <c r="G160" i="10"/>
  <c r="P159" i="10"/>
  <c r="N159" i="10"/>
  <c r="M159" i="10"/>
  <c r="L159" i="10"/>
  <c r="K159" i="10"/>
  <c r="J159" i="10"/>
  <c r="I159" i="10"/>
  <c r="O159" i="10" s="1"/>
  <c r="H159" i="10"/>
  <c r="G159" i="10"/>
  <c r="P158" i="10"/>
  <c r="O158" i="10"/>
  <c r="N158" i="10"/>
  <c r="M158" i="10"/>
  <c r="L158" i="10"/>
  <c r="K158" i="10"/>
  <c r="J158" i="10"/>
  <c r="I158" i="10"/>
  <c r="H158" i="10"/>
  <c r="G158" i="10"/>
  <c r="P157" i="10"/>
  <c r="N157" i="10"/>
  <c r="M157" i="10"/>
  <c r="L157" i="10"/>
  <c r="K157" i="10"/>
  <c r="J157" i="10"/>
  <c r="I157" i="10"/>
  <c r="O157" i="10" s="1"/>
  <c r="H157" i="10"/>
  <c r="G157" i="10"/>
  <c r="P156" i="10"/>
  <c r="O156" i="10"/>
  <c r="N156" i="10"/>
  <c r="M156" i="10"/>
  <c r="L156" i="10"/>
  <c r="K156" i="10"/>
  <c r="J156" i="10"/>
  <c r="I156" i="10"/>
  <c r="H156" i="10"/>
  <c r="G156" i="10"/>
  <c r="P155" i="10"/>
  <c r="N155" i="10"/>
  <c r="M155" i="10"/>
  <c r="L155" i="10"/>
  <c r="K155" i="10"/>
  <c r="J155" i="10"/>
  <c r="I155" i="10"/>
  <c r="O155" i="10" s="1"/>
  <c r="H155" i="10"/>
  <c r="G155" i="10"/>
  <c r="P154" i="10"/>
  <c r="O154" i="10"/>
  <c r="N154" i="10"/>
  <c r="M154" i="10"/>
  <c r="L154" i="10"/>
  <c r="K154" i="10"/>
  <c r="J154" i="10"/>
  <c r="I154" i="10"/>
  <c r="H154" i="10"/>
  <c r="G154" i="10"/>
  <c r="P153" i="10"/>
  <c r="N153" i="10"/>
  <c r="M153" i="10"/>
  <c r="L153" i="10"/>
  <c r="K153" i="10"/>
  <c r="J153" i="10"/>
  <c r="I153" i="10"/>
  <c r="O153" i="10" s="1"/>
  <c r="H153" i="10"/>
  <c r="G153" i="10"/>
  <c r="P152" i="10"/>
  <c r="O152" i="10"/>
  <c r="N152" i="10"/>
  <c r="M152" i="10"/>
  <c r="L152" i="10"/>
  <c r="K152" i="10"/>
  <c r="J152" i="10"/>
  <c r="I152" i="10"/>
  <c r="H152" i="10"/>
  <c r="G152" i="10"/>
  <c r="P151" i="10"/>
  <c r="N151" i="10"/>
  <c r="M151" i="10"/>
  <c r="L151" i="10"/>
  <c r="K151" i="10"/>
  <c r="J151" i="10"/>
  <c r="I151" i="10"/>
  <c r="O151" i="10" s="1"/>
  <c r="H151" i="10"/>
  <c r="G151" i="10"/>
  <c r="P150" i="10"/>
  <c r="O150" i="10"/>
  <c r="N150" i="10"/>
  <c r="M150" i="10"/>
  <c r="L150" i="10"/>
  <c r="K150" i="10"/>
  <c r="J150" i="10"/>
  <c r="I150" i="10"/>
  <c r="H150" i="10"/>
  <c r="G150" i="10"/>
  <c r="P149" i="10"/>
  <c r="N149" i="10"/>
  <c r="M149" i="10"/>
  <c r="L149" i="10"/>
  <c r="K149" i="10"/>
  <c r="J149" i="10"/>
  <c r="I149" i="10"/>
  <c r="O149" i="10" s="1"/>
  <c r="H149" i="10"/>
  <c r="G149" i="10"/>
  <c r="P148" i="10"/>
  <c r="O148" i="10"/>
  <c r="N148" i="10"/>
  <c r="M148" i="10"/>
  <c r="L148" i="10"/>
  <c r="K148" i="10"/>
  <c r="J148" i="10"/>
  <c r="I148" i="10"/>
  <c r="H148" i="10"/>
  <c r="G148" i="10"/>
  <c r="P147" i="10"/>
  <c r="N147" i="10"/>
  <c r="M147" i="10"/>
  <c r="L147" i="10"/>
  <c r="K147" i="10"/>
  <c r="J147" i="10"/>
  <c r="I147" i="10"/>
  <c r="O147" i="10" s="1"/>
  <c r="H147" i="10"/>
  <c r="G147" i="10"/>
  <c r="P146" i="10"/>
  <c r="O146" i="10"/>
  <c r="N146" i="10"/>
  <c r="M146" i="10"/>
  <c r="L146" i="10"/>
  <c r="K146" i="10"/>
  <c r="J146" i="10"/>
  <c r="I146" i="10"/>
  <c r="H146" i="10"/>
  <c r="G146" i="10"/>
  <c r="P145" i="10"/>
  <c r="N145" i="10"/>
  <c r="M145" i="10"/>
  <c r="L145" i="10"/>
  <c r="K145" i="10"/>
  <c r="J145" i="10"/>
  <c r="I145" i="10"/>
  <c r="O145" i="10" s="1"/>
  <c r="H145" i="10"/>
  <c r="G145" i="10"/>
  <c r="P144" i="10"/>
  <c r="O144" i="10"/>
  <c r="N144" i="10"/>
  <c r="M144" i="10"/>
  <c r="L144" i="10"/>
  <c r="K144" i="10"/>
  <c r="J144" i="10"/>
  <c r="I144" i="10"/>
  <c r="H144" i="10"/>
  <c r="G144" i="10"/>
  <c r="P143" i="10"/>
  <c r="N143" i="10"/>
  <c r="M143" i="10"/>
  <c r="L143" i="10"/>
  <c r="K143" i="10"/>
  <c r="J143" i="10"/>
  <c r="I143" i="10"/>
  <c r="O143" i="10" s="1"/>
  <c r="H143" i="10"/>
  <c r="G143" i="10"/>
  <c r="P142" i="10"/>
  <c r="O142" i="10"/>
  <c r="N142" i="10"/>
  <c r="M142" i="10"/>
  <c r="L142" i="10"/>
  <c r="K142" i="10"/>
  <c r="J142" i="10"/>
  <c r="I142" i="10"/>
  <c r="H142" i="10"/>
  <c r="G142" i="10"/>
  <c r="P141" i="10"/>
  <c r="N141" i="10"/>
  <c r="M141" i="10"/>
  <c r="L141" i="10"/>
  <c r="K141" i="10"/>
  <c r="J141" i="10"/>
  <c r="I141" i="10"/>
  <c r="O141" i="10" s="1"/>
  <c r="H141" i="10"/>
  <c r="G141" i="10"/>
  <c r="P140" i="10"/>
  <c r="O140" i="10"/>
  <c r="N140" i="10"/>
  <c r="M140" i="10"/>
  <c r="L140" i="10"/>
  <c r="K140" i="10"/>
  <c r="J140" i="10"/>
  <c r="I140" i="10"/>
  <c r="H140" i="10"/>
  <c r="G140" i="10"/>
  <c r="P139" i="10"/>
  <c r="N139" i="10"/>
  <c r="M139" i="10"/>
  <c r="L139" i="10"/>
  <c r="K139" i="10"/>
  <c r="J139" i="10"/>
  <c r="I139" i="10"/>
  <c r="O139" i="10" s="1"/>
  <c r="H139" i="10"/>
  <c r="G139" i="10"/>
  <c r="P138" i="10"/>
  <c r="O138" i="10"/>
  <c r="N138" i="10"/>
  <c r="M138" i="10"/>
  <c r="L138" i="10"/>
  <c r="K138" i="10"/>
  <c r="J138" i="10"/>
  <c r="I138" i="10"/>
  <c r="H138" i="10"/>
  <c r="G138" i="10"/>
  <c r="P137" i="10"/>
  <c r="N137" i="10"/>
  <c r="M137" i="10"/>
  <c r="L137" i="10"/>
  <c r="K137" i="10"/>
  <c r="J137" i="10"/>
  <c r="I137" i="10"/>
  <c r="O137" i="10" s="1"/>
  <c r="H137" i="10"/>
  <c r="G137" i="10"/>
  <c r="P136" i="10"/>
  <c r="O136" i="10"/>
  <c r="N136" i="10"/>
  <c r="M136" i="10"/>
  <c r="L136" i="10"/>
  <c r="K136" i="10"/>
  <c r="J136" i="10"/>
  <c r="I136" i="10"/>
  <c r="H136" i="10"/>
  <c r="G136" i="10"/>
  <c r="P135" i="10"/>
  <c r="N135" i="10"/>
  <c r="M135" i="10"/>
  <c r="L135" i="10"/>
  <c r="K135" i="10"/>
  <c r="J135" i="10"/>
  <c r="I135" i="10"/>
  <c r="O135" i="10" s="1"/>
  <c r="H135" i="10"/>
  <c r="G135" i="10"/>
  <c r="P134" i="10"/>
  <c r="O134" i="10"/>
  <c r="N134" i="10"/>
  <c r="M134" i="10"/>
  <c r="L134" i="10"/>
  <c r="K134" i="10"/>
  <c r="J134" i="10"/>
  <c r="I134" i="10"/>
  <c r="H134" i="10"/>
  <c r="G134" i="10"/>
  <c r="P133" i="10"/>
  <c r="N133" i="10"/>
  <c r="M133" i="10"/>
  <c r="L133" i="10"/>
  <c r="K133" i="10"/>
  <c r="J133" i="10"/>
  <c r="I133" i="10"/>
  <c r="O133" i="10" s="1"/>
  <c r="H133" i="10"/>
  <c r="G133" i="10"/>
  <c r="P132" i="10"/>
  <c r="O132" i="10"/>
  <c r="N132" i="10"/>
  <c r="M132" i="10"/>
  <c r="L132" i="10"/>
  <c r="K132" i="10"/>
  <c r="J132" i="10"/>
  <c r="I132" i="10"/>
  <c r="H132" i="10"/>
  <c r="G132" i="10"/>
  <c r="P131" i="10"/>
  <c r="N131" i="10"/>
  <c r="M131" i="10"/>
  <c r="L131" i="10"/>
  <c r="K131" i="10"/>
  <c r="J131" i="10"/>
  <c r="I131" i="10"/>
  <c r="O131" i="10" s="1"/>
  <c r="H131" i="10"/>
  <c r="G131" i="10"/>
  <c r="P130" i="10"/>
  <c r="N130" i="10"/>
  <c r="M130" i="10"/>
  <c r="L130" i="10"/>
  <c r="K130" i="10"/>
  <c r="J130" i="10"/>
  <c r="I130" i="10"/>
  <c r="O130" i="10" s="1"/>
  <c r="H130" i="10"/>
  <c r="G130" i="10"/>
  <c r="P129" i="10"/>
  <c r="O129" i="10"/>
  <c r="N129" i="10"/>
  <c r="M129" i="10"/>
  <c r="L129" i="10"/>
  <c r="K129" i="10"/>
  <c r="J129" i="10"/>
  <c r="I129" i="10"/>
  <c r="H129" i="10"/>
  <c r="G129" i="10"/>
  <c r="P128" i="10"/>
  <c r="N128" i="10"/>
  <c r="M128" i="10"/>
  <c r="L128" i="10"/>
  <c r="K128" i="10"/>
  <c r="J128" i="10"/>
  <c r="I128" i="10"/>
  <c r="O128" i="10" s="1"/>
  <c r="H128" i="10"/>
  <c r="G128" i="10"/>
  <c r="P127" i="10"/>
  <c r="O127" i="10"/>
  <c r="N127" i="10"/>
  <c r="M127" i="10"/>
  <c r="L127" i="10"/>
  <c r="K127" i="10"/>
  <c r="J127" i="10"/>
  <c r="I127" i="10"/>
  <c r="H127" i="10"/>
  <c r="G127" i="10"/>
  <c r="P126" i="10"/>
  <c r="N126" i="10"/>
  <c r="M126" i="10"/>
  <c r="L126" i="10"/>
  <c r="K126" i="10"/>
  <c r="J126" i="10"/>
  <c r="I126" i="10"/>
  <c r="O126" i="10" s="1"/>
  <c r="H126" i="10"/>
  <c r="G126" i="10"/>
  <c r="P125" i="10"/>
  <c r="O125" i="10"/>
  <c r="N125" i="10"/>
  <c r="M125" i="10"/>
  <c r="L125" i="10"/>
  <c r="K125" i="10"/>
  <c r="J125" i="10"/>
  <c r="I125" i="10"/>
  <c r="H125" i="10"/>
  <c r="G125" i="10"/>
  <c r="P124" i="10"/>
  <c r="N124" i="10"/>
  <c r="M124" i="10"/>
  <c r="L124" i="10"/>
  <c r="K124" i="10"/>
  <c r="J124" i="10"/>
  <c r="I124" i="10"/>
  <c r="O124" i="10" s="1"/>
  <c r="H124" i="10"/>
  <c r="G124" i="10"/>
  <c r="P123" i="10"/>
  <c r="O123" i="10"/>
  <c r="N123" i="10"/>
  <c r="M123" i="10"/>
  <c r="L123" i="10"/>
  <c r="K123" i="10"/>
  <c r="J123" i="10"/>
  <c r="I123" i="10"/>
  <c r="H123" i="10"/>
  <c r="G123" i="10"/>
  <c r="P122" i="10"/>
  <c r="N122" i="10"/>
  <c r="M122" i="10"/>
  <c r="L122" i="10"/>
  <c r="K122" i="10"/>
  <c r="J122" i="10"/>
  <c r="I122" i="10"/>
  <c r="O122" i="10" s="1"/>
  <c r="H122" i="10"/>
  <c r="G122" i="10"/>
  <c r="P121" i="10"/>
  <c r="O121" i="10"/>
  <c r="N121" i="10"/>
  <c r="M121" i="10"/>
  <c r="L121" i="10"/>
  <c r="K121" i="10"/>
  <c r="J121" i="10"/>
  <c r="I121" i="10"/>
  <c r="H121" i="10"/>
  <c r="G121" i="10"/>
  <c r="P120" i="10"/>
  <c r="N120" i="10"/>
  <c r="M120" i="10"/>
  <c r="L120" i="10"/>
  <c r="K120" i="10"/>
  <c r="J120" i="10"/>
  <c r="I120" i="10"/>
  <c r="O120" i="10" s="1"/>
  <c r="H120" i="10"/>
  <c r="G120" i="10"/>
  <c r="P119" i="10"/>
  <c r="O119" i="10"/>
  <c r="N119" i="10"/>
  <c r="M119" i="10"/>
  <c r="L119" i="10"/>
  <c r="K119" i="10"/>
  <c r="J119" i="10"/>
  <c r="I119" i="10"/>
  <c r="H119" i="10"/>
  <c r="G119" i="10"/>
  <c r="P118" i="10"/>
  <c r="N118" i="10"/>
  <c r="M118" i="10"/>
  <c r="L118" i="10"/>
  <c r="K118" i="10"/>
  <c r="J118" i="10"/>
  <c r="I118" i="10"/>
  <c r="O118" i="10" s="1"/>
  <c r="H118" i="10"/>
  <c r="G118" i="10"/>
  <c r="P117" i="10"/>
  <c r="O117" i="10"/>
  <c r="N117" i="10"/>
  <c r="M117" i="10"/>
  <c r="L117" i="10"/>
  <c r="K117" i="10"/>
  <c r="J117" i="10"/>
  <c r="I117" i="10"/>
  <c r="H117" i="10"/>
  <c r="G117" i="10"/>
  <c r="P116" i="10"/>
  <c r="N116" i="10"/>
  <c r="M116" i="10"/>
  <c r="L116" i="10"/>
  <c r="K116" i="10"/>
  <c r="J116" i="10"/>
  <c r="I116" i="10"/>
  <c r="O116" i="10" s="1"/>
  <c r="H116" i="10"/>
  <c r="G116" i="10"/>
  <c r="P115" i="10"/>
  <c r="O115" i="10"/>
  <c r="N115" i="10"/>
  <c r="M115" i="10"/>
  <c r="L115" i="10"/>
  <c r="K115" i="10"/>
  <c r="J115" i="10"/>
  <c r="I115" i="10"/>
  <c r="H115" i="10"/>
  <c r="G115" i="10"/>
  <c r="P114" i="10"/>
  <c r="N114" i="10"/>
  <c r="M114" i="10"/>
  <c r="L114" i="10"/>
  <c r="K114" i="10"/>
  <c r="J114" i="10"/>
  <c r="I114" i="10"/>
  <c r="O114" i="10" s="1"/>
  <c r="H114" i="10"/>
  <c r="G114" i="10"/>
  <c r="P113" i="10"/>
  <c r="O113" i="10"/>
  <c r="N113" i="10"/>
  <c r="M113" i="10"/>
  <c r="L113" i="10"/>
  <c r="K113" i="10"/>
  <c r="J113" i="10"/>
  <c r="I113" i="10"/>
  <c r="H113" i="10"/>
  <c r="G113" i="10"/>
  <c r="P112" i="10"/>
  <c r="N112" i="10"/>
  <c r="M112" i="10"/>
  <c r="L112" i="10"/>
  <c r="K112" i="10"/>
  <c r="J112" i="10"/>
  <c r="I112" i="10"/>
  <c r="O112" i="10" s="1"/>
  <c r="H112" i="10"/>
  <c r="G112" i="10"/>
  <c r="P111" i="10"/>
  <c r="O111" i="10"/>
  <c r="N111" i="10"/>
  <c r="M111" i="10"/>
  <c r="L111" i="10"/>
  <c r="K111" i="10"/>
  <c r="J111" i="10"/>
  <c r="I111" i="10"/>
  <c r="H111" i="10"/>
  <c r="G111" i="10"/>
  <c r="P110" i="10"/>
  <c r="N110" i="10"/>
  <c r="M110" i="10"/>
  <c r="L110" i="10"/>
  <c r="K110" i="10"/>
  <c r="J110" i="10"/>
  <c r="I110" i="10"/>
  <c r="O110" i="10" s="1"/>
  <c r="H110" i="10"/>
  <c r="G110" i="10"/>
  <c r="P109" i="10"/>
  <c r="O109" i="10"/>
  <c r="N109" i="10"/>
  <c r="M109" i="10"/>
  <c r="L109" i="10"/>
  <c r="K109" i="10"/>
  <c r="J109" i="10"/>
  <c r="I109" i="10"/>
  <c r="H109" i="10"/>
  <c r="G109" i="10"/>
  <c r="P108" i="10"/>
  <c r="N108" i="10"/>
  <c r="M108" i="10"/>
  <c r="L108" i="10"/>
  <c r="K108" i="10"/>
  <c r="J108" i="10"/>
  <c r="I108" i="10"/>
  <c r="O108" i="10" s="1"/>
  <c r="H108" i="10"/>
  <c r="G108" i="10"/>
  <c r="P107" i="10"/>
  <c r="O107" i="10"/>
  <c r="N107" i="10"/>
  <c r="M107" i="10"/>
  <c r="L107" i="10"/>
  <c r="K107" i="10"/>
  <c r="J107" i="10"/>
  <c r="I107" i="10"/>
  <c r="H107" i="10"/>
  <c r="G107" i="10"/>
  <c r="P106" i="10"/>
  <c r="N106" i="10"/>
  <c r="M106" i="10"/>
  <c r="L106" i="10"/>
  <c r="K106" i="10"/>
  <c r="J106" i="10"/>
  <c r="I106" i="10"/>
  <c r="O106" i="10" s="1"/>
  <c r="H106" i="10"/>
  <c r="G106" i="10"/>
  <c r="P105" i="10"/>
  <c r="O105" i="10"/>
  <c r="N105" i="10"/>
  <c r="M105" i="10"/>
  <c r="L105" i="10"/>
  <c r="K105" i="10"/>
  <c r="J105" i="10"/>
  <c r="I105" i="10"/>
  <c r="H105" i="10"/>
  <c r="G105" i="10"/>
  <c r="P104" i="10"/>
  <c r="N104" i="10"/>
  <c r="M104" i="10"/>
  <c r="L104" i="10"/>
  <c r="K104" i="10"/>
  <c r="J104" i="10"/>
  <c r="I104" i="10"/>
  <c r="O104" i="10" s="1"/>
  <c r="H104" i="10"/>
  <c r="G104" i="10"/>
  <c r="P103" i="10"/>
  <c r="O103" i="10"/>
  <c r="N103" i="10"/>
  <c r="M103" i="10"/>
  <c r="L103" i="10"/>
  <c r="K103" i="10"/>
  <c r="J103" i="10"/>
  <c r="I103" i="10"/>
  <c r="H103" i="10"/>
  <c r="G103" i="10"/>
  <c r="P102" i="10"/>
  <c r="N102" i="10"/>
  <c r="M102" i="10"/>
  <c r="L102" i="10"/>
  <c r="K102" i="10"/>
  <c r="J102" i="10"/>
  <c r="I102" i="10"/>
  <c r="O102" i="10" s="1"/>
  <c r="H102" i="10"/>
  <c r="G102" i="10"/>
  <c r="P101" i="10"/>
  <c r="O101" i="10"/>
  <c r="N101" i="10"/>
  <c r="M101" i="10"/>
  <c r="L101" i="10"/>
  <c r="K101" i="10"/>
  <c r="J101" i="10"/>
  <c r="I101" i="10"/>
  <c r="H101" i="10"/>
  <c r="G101" i="10"/>
  <c r="P100" i="10"/>
  <c r="N100" i="10"/>
  <c r="M100" i="10"/>
  <c r="L100" i="10"/>
  <c r="K100" i="10"/>
  <c r="J100" i="10"/>
  <c r="I100" i="10"/>
  <c r="O100" i="10" s="1"/>
  <c r="H100" i="10"/>
  <c r="G100" i="10"/>
  <c r="P99" i="10"/>
  <c r="O99" i="10"/>
  <c r="N99" i="10"/>
  <c r="M99" i="10"/>
  <c r="L99" i="10"/>
  <c r="K99" i="10"/>
  <c r="J99" i="10"/>
  <c r="I99" i="10"/>
  <c r="H99" i="10"/>
  <c r="G99" i="10"/>
  <c r="P98" i="10"/>
  <c r="N98" i="10"/>
  <c r="M98" i="10"/>
  <c r="L98" i="10"/>
  <c r="K98" i="10"/>
  <c r="J98" i="10"/>
  <c r="I98" i="10"/>
  <c r="O98" i="10" s="1"/>
  <c r="H98" i="10"/>
  <c r="G98" i="10"/>
  <c r="P97" i="10"/>
  <c r="O97" i="10"/>
  <c r="N97" i="10"/>
  <c r="M97" i="10"/>
  <c r="L97" i="10"/>
  <c r="K97" i="10"/>
  <c r="J97" i="10"/>
  <c r="I97" i="10"/>
  <c r="H97" i="10"/>
  <c r="G97" i="10"/>
  <c r="P96" i="10"/>
  <c r="N96" i="10"/>
  <c r="M96" i="10"/>
  <c r="L96" i="10"/>
  <c r="K96" i="10"/>
  <c r="J96" i="10"/>
  <c r="I96" i="10"/>
  <c r="O96" i="10" s="1"/>
  <c r="H96" i="10"/>
  <c r="G96" i="10"/>
  <c r="P95" i="10"/>
  <c r="O95" i="10"/>
  <c r="N95" i="10"/>
  <c r="M95" i="10"/>
  <c r="L95" i="10"/>
  <c r="K95" i="10"/>
  <c r="J95" i="10"/>
  <c r="I95" i="10"/>
  <c r="H95" i="10"/>
  <c r="G95" i="10"/>
  <c r="P94" i="10"/>
  <c r="N94" i="10"/>
  <c r="M94" i="10"/>
  <c r="L94" i="10"/>
  <c r="K94" i="10"/>
  <c r="J94" i="10"/>
  <c r="I94" i="10"/>
  <c r="O94" i="10" s="1"/>
  <c r="H94" i="10"/>
  <c r="G94" i="10"/>
  <c r="P93" i="10"/>
  <c r="O93" i="10"/>
  <c r="N93" i="10"/>
  <c r="M93" i="10"/>
  <c r="L93" i="10"/>
  <c r="K93" i="10"/>
  <c r="J93" i="10"/>
  <c r="I93" i="10"/>
  <c r="H93" i="10"/>
  <c r="G93" i="10"/>
  <c r="P92" i="10"/>
  <c r="N92" i="10"/>
  <c r="M92" i="10"/>
  <c r="L92" i="10"/>
  <c r="K92" i="10"/>
  <c r="J92" i="10"/>
  <c r="I92" i="10"/>
  <c r="O92" i="10" s="1"/>
  <c r="H92" i="10"/>
  <c r="G92" i="10"/>
  <c r="P91" i="10"/>
  <c r="O91" i="10"/>
  <c r="N91" i="10"/>
  <c r="M91" i="10"/>
  <c r="L91" i="10"/>
  <c r="K91" i="10"/>
  <c r="J91" i="10"/>
  <c r="I91" i="10"/>
  <c r="H91" i="10"/>
  <c r="G91" i="10"/>
  <c r="P90" i="10"/>
  <c r="N90" i="10"/>
  <c r="M90" i="10"/>
  <c r="L90" i="10"/>
  <c r="K90" i="10"/>
  <c r="J90" i="10"/>
  <c r="I90" i="10"/>
  <c r="O90" i="10" s="1"/>
  <c r="H90" i="10"/>
  <c r="G90" i="10"/>
  <c r="P89" i="10"/>
  <c r="O89" i="10"/>
  <c r="N89" i="10"/>
  <c r="M89" i="10"/>
  <c r="L89" i="10"/>
  <c r="K89" i="10"/>
  <c r="J89" i="10"/>
  <c r="I89" i="10"/>
  <c r="H89" i="10"/>
  <c r="G89" i="10"/>
  <c r="P88" i="10"/>
  <c r="N88" i="10"/>
  <c r="M88" i="10"/>
  <c r="L88" i="10"/>
  <c r="K88" i="10"/>
  <c r="J88" i="10"/>
  <c r="I88" i="10"/>
  <c r="O88" i="10" s="1"/>
  <c r="H88" i="10"/>
  <c r="G88" i="10"/>
  <c r="P87" i="10"/>
  <c r="O87" i="10"/>
  <c r="N87" i="10"/>
  <c r="M87" i="10"/>
  <c r="L87" i="10"/>
  <c r="K87" i="10"/>
  <c r="J87" i="10"/>
  <c r="I87" i="10"/>
  <c r="H87" i="10"/>
  <c r="G87" i="10"/>
  <c r="P86" i="10"/>
  <c r="N86" i="10"/>
  <c r="M86" i="10"/>
  <c r="L86" i="10"/>
  <c r="K86" i="10"/>
  <c r="J86" i="10"/>
  <c r="I86" i="10"/>
  <c r="O86" i="10" s="1"/>
  <c r="H86" i="10"/>
  <c r="G86" i="10"/>
  <c r="P85" i="10"/>
  <c r="O85" i="10"/>
  <c r="N85" i="10"/>
  <c r="M85" i="10"/>
  <c r="L85" i="10"/>
  <c r="K85" i="10"/>
  <c r="J85" i="10"/>
  <c r="I85" i="10"/>
  <c r="H85" i="10"/>
  <c r="G85" i="10"/>
  <c r="P84" i="10"/>
  <c r="N84" i="10"/>
  <c r="M84" i="10"/>
  <c r="L84" i="10"/>
  <c r="K84" i="10"/>
  <c r="J84" i="10"/>
  <c r="I84" i="10"/>
  <c r="O84" i="10" s="1"/>
  <c r="H84" i="10"/>
  <c r="G84" i="10"/>
  <c r="P83" i="10"/>
  <c r="O83" i="10"/>
  <c r="N83" i="10"/>
  <c r="M83" i="10"/>
  <c r="L83" i="10"/>
  <c r="K83" i="10"/>
  <c r="J83" i="10"/>
  <c r="I83" i="10"/>
  <c r="H83" i="10"/>
  <c r="G83" i="10"/>
  <c r="P82" i="10"/>
  <c r="N82" i="10"/>
  <c r="M82" i="10"/>
  <c r="L82" i="10"/>
  <c r="K82" i="10"/>
  <c r="J82" i="10"/>
  <c r="I82" i="10"/>
  <c r="O82" i="10" s="1"/>
  <c r="H82" i="10"/>
  <c r="G82" i="10"/>
  <c r="P81" i="10"/>
  <c r="O81" i="10"/>
  <c r="N81" i="10"/>
  <c r="M81" i="10"/>
  <c r="L81" i="10"/>
  <c r="K81" i="10"/>
  <c r="J81" i="10"/>
  <c r="I81" i="10"/>
  <c r="H81" i="10"/>
  <c r="G81" i="10"/>
  <c r="P80" i="10"/>
  <c r="N80" i="10"/>
  <c r="M80" i="10"/>
  <c r="L80" i="10"/>
  <c r="K80" i="10"/>
  <c r="J80" i="10"/>
  <c r="I80" i="10"/>
  <c r="O80" i="10" s="1"/>
  <c r="H80" i="10"/>
  <c r="G80" i="10"/>
  <c r="P79" i="10"/>
  <c r="O79" i="10"/>
  <c r="N79" i="10"/>
  <c r="M79" i="10"/>
  <c r="L79" i="10"/>
  <c r="K79" i="10"/>
  <c r="J79" i="10"/>
  <c r="I79" i="10"/>
  <c r="H79" i="10"/>
  <c r="G79" i="10"/>
  <c r="P78" i="10"/>
  <c r="N78" i="10"/>
  <c r="M78" i="10"/>
  <c r="L78" i="10"/>
  <c r="K78" i="10"/>
  <c r="J78" i="10"/>
  <c r="I78" i="10"/>
  <c r="O78" i="10" s="1"/>
  <c r="H78" i="10"/>
  <c r="G78" i="10"/>
  <c r="P77" i="10"/>
  <c r="O77" i="10"/>
  <c r="N77" i="10"/>
  <c r="M77" i="10"/>
  <c r="L77" i="10"/>
  <c r="K77" i="10"/>
  <c r="J77" i="10"/>
  <c r="I77" i="10"/>
  <c r="H77" i="10"/>
  <c r="G77" i="10"/>
  <c r="P76" i="10"/>
  <c r="N76" i="10"/>
  <c r="M76" i="10"/>
  <c r="L76" i="10"/>
  <c r="K76" i="10"/>
  <c r="J76" i="10"/>
  <c r="I76" i="10"/>
  <c r="O76" i="10" s="1"/>
  <c r="H76" i="10"/>
  <c r="G76" i="10"/>
  <c r="P75" i="10"/>
  <c r="O75" i="10"/>
  <c r="N75" i="10"/>
  <c r="M75" i="10"/>
  <c r="L75" i="10"/>
  <c r="K75" i="10"/>
  <c r="J75" i="10"/>
  <c r="I75" i="10"/>
  <c r="H75" i="10"/>
  <c r="G75" i="10"/>
  <c r="P74" i="10"/>
  <c r="N74" i="10"/>
  <c r="M74" i="10"/>
  <c r="L74" i="10"/>
  <c r="K74" i="10"/>
  <c r="J74" i="10"/>
  <c r="I74" i="10"/>
  <c r="O74" i="10" s="1"/>
  <c r="H74" i="10"/>
  <c r="G74" i="10"/>
  <c r="P73" i="10"/>
  <c r="O73" i="10"/>
  <c r="N73" i="10"/>
  <c r="M73" i="10"/>
  <c r="L73" i="10"/>
  <c r="K73" i="10"/>
  <c r="J73" i="10"/>
  <c r="I73" i="10"/>
  <c r="H73" i="10"/>
  <c r="G73" i="10"/>
  <c r="P72" i="10"/>
  <c r="N72" i="10"/>
  <c r="M72" i="10"/>
  <c r="L72" i="10"/>
  <c r="K72" i="10"/>
  <c r="J72" i="10"/>
  <c r="I72" i="10"/>
  <c r="O72" i="10" s="1"/>
  <c r="H72" i="10"/>
  <c r="G72" i="10"/>
  <c r="P71" i="10"/>
  <c r="O71" i="10"/>
  <c r="N71" i="10"/>
  <c r="M71" i="10"/>
  <c r="L71" i="10"/>
  <c r="K71" i="10"/>
  <c r="J71" i="10"/>
  <c r="I71" i="10"/>
  <c r="H71" i="10"/>
  <c r="G71" i="10"/>
  <c r="P70" i="10"/>
  <c r="N70" i="10"/>
  <c r="M70" i="10"/>
  <c r="L70" i="10"/>
  <c r="K70" i="10"/>
  <c r="J70" i="10"/>
  <c r="I70" i="10"/>
  <c r="O70" i="10" s="1"/>
  <c r="H70" i="10"/>
  <c r="G70" i="10"/>
  <c r="P69" i="10"/>
  <c r="O69" i="10"/>
  <c r="N69" i="10"/>
  <c r="M69" i="10"/>
  <c r="L69" i="10"/>
  <c r="K69" i="10"/>
  <c r="J69" i="10"/>
  <c r="I69" i="10"/>
  <c r="H69" i="10"/>
  <c r="G69" i="10"/>
  <c r="P68" i="10"/>
  <c r="N68" i="10"/>
  <c r="M68" i="10"/>
  <c r="L68" i="10"/>
  <c r="K68" i="10"/>
  <c r="J68" i="10"/>
  <c r="I68" i="10"/>
  <c r="O68" i="10" s="1"/>
  <c r="H68" i="10"/>
  <c r="G68" i="10"/>
  <c r="P67" i="10"/>
  <c r="O67" i="10"/>
  <c r="N67" i="10"/>
  <c r="M67" i="10"/>
  <c r="L67" i="10"/>
  <c r="K67" i="10"/>
  <c r="J67" i="10"/>
  <c r="I67" i="10"/>
  <c r="H67" i="10"/>
  <c r="G67" i="10"/>
  <c r="P66" i="10"/>
  <c r="N66" i="10"/>
  <c r="M66" i="10"/>
  <c r="L66" i="10"/>
  <c r="K66" i="10"/>
  <c r="J66" i="10"/>
  <c r="I66" i="10"/>
  <c r="O66" i="10" s="1"/>
  <c r="H66" i="10"/>
  <c r="G66" i="10"/>
  <c r="P65" i="10"/>
  <c r="O65" i="10"/>
  <c r="N65" i="10"/>
  <c r="M65" i="10"/>
  <c r="L65" i="10"/>
  <c r="K65" i="10"/>
  <c r="J65" i="10"/>
  <c r="I65" i="10"/>
  <c r="H65" i="10"/>
  <c r="G65" i="10"/>
  <c r="P64" i="10"/>
  <c r="N64" i="10"/>
  <c r="M64" i="10"/>
  <c r="L64" i="10"/>
  <c r="K64" i="10"/>
  <c r="J64" i="10"/>
  <c r="I64" i="10"/>
  <c r="O64" i="10" s="1"/>
  <c r="H64" i="10"/>
  <c r="G64" i="10"/>
  <c r="P63" i="10"/>
  <c r="O63" i="10"/>
  <c r="N63" i="10"/>
  <c r="M63" i="10"/>
  <c r="L63" i="10"/>
  <c r="K63" i="10"/>
  <c r="J63" i="10"/>
  <c r="I63" i="10"/>
  <c r="H63" i="10"/>
  <c r="G63" i="10"/>
  <c r="P62" i="10"/>
  <c r="N62" i="10"/>
  <c r="M62" i="10"/>
  <c r="L62" i="10"/>
  <c r="K62" i="10"/>
  <c r="J62" i="10"/>
  <c r="I62" i="10"/>
  <c r="O62" i="10" s="1"/>
  <c r="H62" i="10"/>
  <c r="G62" i="10"/>
  <c r="P61" i="10"/>
  <c r="O61" i="10"/>
  <c r="N61" i="10"/>
  <c r="M61" i="10"/>
  <c r="L61" i="10"/>
  <c r="K61" i="10"/>
  <c r="J61" i="10"/>
  <c r="I61" i="10"/>
  <c r="H61" i="10"/>
  <c r="G61" i="10"/>
  <c r="P60" i="10"/>
  <c r="N60" i="10"/>
  <c r="M60" i="10"/>
  <c r="L60" i="10"/>
  <c r="K60" i="10"/>
  <c r="J60" i="10"/>
  <c r="I60" i="10"/>
  <c r="O60" i="10" s="1"/>
  <c r="H60" i="10"/>
  <c r="G60" i="10"/>
  <c r="P59" i="10"/>
  <c r="O59" i="10"/>
  <c r="N59" i="10"/>
  <c r="M59" i="10"/>
  <c r="L59" i="10"/>
  <c r="K59" i="10"/>
  <c r="J59" i="10"/>
  <c r="I59" i="10"/>
  <c r="H59" i="10"/>
  <c r="G59" i="10"/>
  <c r="P58" i="10"/>
  <c r="N58" i="10"/>
  <c r="M58" i="10"/>
  <c r="L58" i="10"/>
  <c r="K58" i="10"/>
  <c r="J58" i="10"/>
  <c r="I58" i="10"/>
  <c r="O58" i="10" s="1"/>
  <c r="H58" i="10"/>
  <c r="G58" i="10"/>
  <c r="P57" i="10"/>
  <c r="O57" i="10"/>
  <c r="N57" i="10"/>
  <c r="M57" i="10"/>
  <c r="L57" i="10"/>
  <c r="K57" i="10"/>
  <c r="J57" i="10"/>
  <c r="I57" i="10"/>
  <c r="H57" i="10"/>
  <c r="G57" i="10"/>
  <c r="P56" i="10"/>
  <c r="N56" i="10"/>
  <c r="M56" i="10"/>
  <c r="L56" i="10"/>
  <c r="K56" i="10"/>
  <c r="J56" i="10"/>
  <c r="I56" i="10"/>
  <c r="O56" i="10" s="1"/>
  <c r="H56" i="10"/>
  <c r="G56" i="10"/>
  <c r="P55" i="10"/>
  <c r="O55" i="10"/>
  <c r="N55" i="10"/>
  <c r="M55" i="10"/>
  <c r="L55" i="10"/>
  <c r="K55" i="10"/>
  <c r="J55" i="10"/>
  <c r="I55" i="10"/>
  <c r="H55" i="10"/>
  <c r="G55" i="10"/>
  <c r="P54" i="10"/>
  <c r="N54" i="10"/>
  <c r="M54" i="10"/>
  <c r="L54" i="10"/>
  <c r="K54" i="10"/>
  <c r="J54" i="10"/>
  <c r="I54" i="10"/>
  <c r="O54" i="10" s="1"/>
  <c r="H54" i="10"/>
  <c r="G54" i="10"/>
  <c r="P53" i="10"/>
  <c r="O53" i="10"/>
  <c r="N53" i="10"/>
  <c r="M53" i="10"/>
  <c r="L53" i="10"/>
  <c r="K53" i="10"/>
  <c r="J53" i="10"/>
  <c r="I53" i="10"/>
  <c r="H53" i="10"/>
  <c r="G53" i="10"/>
  <c r="P52" i="10"/>
  <c r="N52" i="10"/>
  <c r="M52" i="10"/>
  <c r="L52" i="10"/>
  <c r="K52" i="10"/>
  <c r="J52" i="10"/>
  <c r="I52" i="10"/>
  <c r="O52" i="10" s="1"/>
  <c r="H52" i="10"/>
  <c r="G52" i="10"/>
  <c r="P51" i="10"/>
  <c r="O51" i="10"/>
  <c r="N51" i="10"/>
  <c r="M51" i="10"/>
  <c r="L51" i="10"/>
  <c r="K51" i="10"/>
  <c r="J51" i="10"/>
  <c r="I51" i="10"/>
  <c r="H51" i="10"/>
  <c r="G51" i="10"/>
  <c r="P50" i="10"/>
  <c r="N50" i="10"/>
  <c r="M50" i="10"/>
  <c r="L50" i="10"/>
  <c r="K50" i="10"/>
  <c r="J50" i="10"/>
  <c r="I50" i="10"/>
  <c r="O50" i="10" s="1"/>
  <c r="H50" i="10"/>
  <c r="G50" i="10"/>
  <c r="P49" i="10"/>
  <c r="O49" i="10"/>
  <c r="N49" i="10"/>
  <c r="M49" i="10"/>
  <c r="L49" i="10"/>
  <c r="K49" i="10"/>
  <c r="J49" i="10"/>
  <c r="I49" i="10"/>
  <c r="H49" i="10"/>
  <c r="G49" i="10"/>
  <c r="P48" i="10"/>
  <c r="N48" i="10"/>
  <c r="M48" i="10"/>
  <c r="L48" i="10"/>
  <c r="K48" i="10"/>
  <c r="J48" i="10"/>
  <c r="I48" i="10"/>
  <c r="O48" i="10" s="1"/>
  <c r="H48" i="10"/>
  <c r="G48" i="10"/>
  <c r="P47" i="10"/>
  <c r="O47" i="10"/>
  <c r="N47" i="10"/>
  <c r="M47" i="10"/>
  <c r="L47" i="10"/>
  <c r="K47" i="10"/>
  <c r="J47" i="10"/>
  <c r="I47" i="10"/>
  <c r="H47" i="10"/>
  <c r="G47" i="10"/>
  <c r="P46" i="10"/>
  <c r="N46" i="10"/>
  <c r="M46" i="10"/>
  <c r="L46" i="10"/>
  <c r="K46" i="10"/>
  <c r="J46" i="10"/>
  <c r="I46" i="10"/>
  <c r="O46" i="10" s="1"/>
  <c r="H46" i="10"/>
  <c r="G46" i="10"/>
  <c r="P45" i="10"/>
  <c r="O45" i="10"/>
  <c r="N45" i="10"/>
  <c r="M45" i="10"/>
  <c r="L45" i="10"/>
  <c r="K45" i="10"/>
  <c r="J45" i="10"/>
  <c r="I45" i="10"/>
  <c r="H45" i="10"/>
  <c r="G45" i="10"/>
  <c r="P44" i="10"/>
  <c r="N44" i="10"/>
  <c r="M44" i="10"/>
  <c r="L44" i="10"/>
  <c r="K44" i="10"/>
  <c r="J44" i="10"/>
  <c r="I44" i="10"/>
  <c r="O44" i="10" s="1"/>
  <c r="H44" i="10"/>
  <c r="G44" i="10"/>
  <c r="P43" i="10"/>
  <c r="O43" i="10"/>
  <c r="N43" i="10"/>
  <c r="M43" i="10"/>
  <c r="L43" i="10"/>
  <c r="K43" i="10"/>
  <c r="J43" i="10"/>
  <c r="I43" i="10"/>
  <c r="H43" i="10"/>
  <c r="G43" i="10"/>
  <c r="P42" i="10"/>
  <c r="N42" i="10"/>
  <c r="M42" i="10"/>
  <c r="L42" i="10"/>
  <c r="K42" i="10"/>
  <c r="J42" i="10"/>
  <c r="I42" i="10"/>
  <c r="O42" i="10" s="1"/>
  <c r="H42" i="10"/>
  <c r="G42" i="10"/>
  <c r="P41" i="10"/>
  <c r="O41" i="10"/>
  <c r="N41" i="10"/>
  <c r="M41" i="10"/>
  <c r="L41" i="10"/>
  <c r="K41" i="10"/>
  <c r="J41" i="10"/>
  <c r="I41" i="10"/>
  <c r="H41" i="10"/>
  <c r="G41" i="10"/>
  <c r="P40" i="10"/>
  <c r="N40" i="10"/>
  <c r="M40" i="10"/>
  <c r="L40" i="10"/>
  <c r="K40" i="10"/>
  <c r="J40" i="10"/>
  <c r="I40" i="10"/>
  <c r="O40" i="10" s="1"/>
  <c r="H40" i="10"/>
  <c r="G40" i="10"/>
  <c r="P39" i="10"/>
  <c r="O39" i="10"/>
  <c r="N39" i="10"/>
  <c r="M39" i="10"/>
  <c r="L39" i="10"/>
  <c r="K39" i="10"/>
  <c r="J39" i="10"/>
  <c r="I39" i="10"/>
  <c r="H39" i="10"/>
  <c r="G39" i="10"/>
  <c r="P38" i="10"/>
  <c r="N38" i="10"/>
  <c r="M38" i="10"/>
  <c r="L38" i="10"/>
  <c r="K38" i="10"/>
  <c r="J38" i="10"/>
  <c r="I38" i="10"/>
  <c r="O38" i="10" s="1"/>
  <c r="H38" i="10"/>
  <c r="G38" i="10"/>
  <c r="P37" i="10"/>
  <c r="O37" i="10"/>
  <c r="N37" i="10"/>
  <c r="M37" i="10"/>
  <c r="L37" i="10"/>
  <c r="K37" i="10"/>
  <c r="J37" i="10"/>
  <c r="I37" i="10"/>
  <c r="H37" i="10"/>
  <c r="G37" i="10"/>
  <c r="P36" i="10"/>
  <c r="N36" i="10"/>
  <c r="M36" i="10"/>
  <c r="L36" i="10"/>
  <c r="K36" i="10"/>
  <c r="J36" i="10"/>
  <c r="I36" i="10"/>
  <c r="O36" i="10" s="1"/>
  <c r="H36" i="10"/>
  <c r="G36" i="10"/>
  <c r="P35" i="10"/>
  <c r="O35" i="10"/>
  <c r="N35" i="10"/>
  <c r="M35" i="10"/>
  <c r="L35" i="10"/>
  <c r="K35" i="10"/>
  <c r="J35" i="10"/>
  <c r="I35" i="10"/>
  <c r="H35" i="10"/>
  <c r="G35" i="10"/>
  <c r="P34" i="10"/>
  <c r="N34" i="10"/>
  <c r="M34" i="10"/>
  <c r="L34" i="10"/>
  <c r="K34" i="10"/>
  <c r="J34" i="10"/>
  <c r="I34" i="10"/>
  <c r="O34" i="10" s="1"/>
  <c r="H34" i="10"/>
  <c r="G34" i="10"/>
  <c r="P33" i="10"/>
  <c r="O33" i="10"/>
  <c r="N33" i="10"/>
  <c r="M33" i="10"/>
  <c r="L33" i="10"/>
  <c r="K33" i="10"/>
  <c r="J33" i="10"/>
  <c r="I33" i="10"/>
  <c r="H33" i="10"/>
  <c r="G33" i="10"/>
  <c r="P32" i="10"/>
  <c r="N32" i="10"/>
  <c r="M32" i="10"/>
  <c r="L32" i="10"/>
  <c r="K32" i="10"/>
  <c r="J32" i="10"/>
  <c r="I32" i="10"/>
  <c r="O32" i="10" s="1"/>
  <c r="H32" i="10"/>
  <c r="G32" i="10"/>
  <c r="P31" i="10"/>
  <c r="O31" i="10"/>
  <c r="N31" i="10"/>
  <c r="M31" i="10"/>
  <c r="L31" i="10"/>
  <c r="K31" i="10"/>
  <c r="J31" i="10"/>
  <c r="I31" i="10"/>
  <c r="H31" i="10"/>
  <c r="G31" i="10"/>
  <c r="P30" i="10"/>
  <c r="N30" i="10"/>
  <c r="M30" i="10"/>
  <c r="L30" i="10"/>
  <c r="K30" i="10"/>
  <c r="J30" i="10"/>
  <c r="I30" i="10"/>
  <c r="O30" i="10" s="1"/>
  <c r="H30" i="10"/>
  <c r="G30" i="10"/>
  <c r="P29" i="10"/>
  <c r="O29" i="10"/>
  <c r="N29" i="10"/>
  <c r="M29" i="10"/>
  <c r="L29" i="10"/>
  <c r="K29" i="10"/>
  <c r="J29" i="10"/>
  <c r="I29" i="10"/>
  <c r="H29" i="10"/>
  <c r="G29" i="10"/>
  <c r="P28" i="10"/>
  <c r="N28" i="10"/>
  <c r="M28" i="10"/>
  <c r="L28" i="10"/>
  <c r="K28" i="10"/>
  <c r="J28" i="10"/>
  <c r="I28" i="10"/>
  <c r="O28" i="10" s="1"/>
  <c r="H28" i="10"/>
  <c r="G28" i="10"/>
  <c r="P27" i="10"/>
  <c r="O27" i="10"/>
  <c r="N27" i="10"/>
  <c r="M27" i="10"/>
  <c r="L27" i="10"/>
  <c r="K27" i="10"/>
  <c r="J27" i="10"/>
  <c r="I27" i="10"/>
  <c r="H27" i="10"/>
  <c r="G27" i="10"/>
  <c r="P26" i="10"/>
  <c r="N26" i="10"/>
  <c r="M26" i="10"/>
  <c r="L26" i="10"/>
  <c r="K26" i="10"/>
  <c r="J26" i="10"/>
  <c r="I26" i="10"/>
  <c r="O26" i="10" s="1"/>
  <c r="H26" i="10"/>
  <c r="G26" i="10"/>
  <c r="P25" i="10"/>
  <c r="O25" i="10"/>
  <c r="N25" i="10"/>
  <c r="M25" i="10"/>
  <c r="L25" i="10"/>
  <c r="K25" i="10"/>
  <c r="J25" i="10"/>
  <c r="I25" i="10"/>
  <c r="H25" i="10"/>
  <c r="G25" i="10"/>
  <c r="P24" i="10"/>
  <c r="N24" i="10"/>
  <c r="M24" i="10"/>
  <c r="L24" i="10"/>
  <c r="K24" i="10"/>
  <c r="J24" i="10"/>
  <c r="I24" i="10"/>
  <c r="O24" i="10" s="1"/>
  <c r="H24" i="10"/>
  <c r="G24" i="10"/>
  <c r="P23" i="10"/>
  <c r="O23" i="10"/>
  <c r="N23" i="10"/>
  <c r="M23" i="10"/>
  <c r="L23" i="10"/>
  <c r="K23" i="10"/>
  <c r="J23" i="10"/>
  <c r="I23" i="10"/>
  <c r="H23" i="10"/>
  <c r="G23" i="10"/>
  <c r="P22" i="10"/>
  <c r="N22" i="10"/>
  <c r="M22" i="10"/>
  <c r="L22" i="10"/>
  <c r="K22" i="10"/>
  <c r="J22" i="10"/>
  <c r="I22" i="10"/>
  <c r="O22" i="10" s="1"/>
  <c r="H22" i="10"/>
  <c r="G22" i="10"/>
  <c r="P21" i="10"/>
  <c r="O21" i="10"/>
  <c r="N21" i="10"/>
  <c r="M21" i="10"/>
  <c r="L21" i="10"/>
  <c r="K21" i="10"/>
  <c r="J21" i="10"/>
  <c r="I21" i="10"/>
  <c r="H21" i="10"/>
  <c r="G21" i="10"/>
  <c r="P20" i="10"/>
  <c r="N20" i="10"/>
  <c r="M20" i="10"/>
  <c r="L20" i="10"/>
  <c r="K20" i="10"/>
  <c r="J20" i="10"/>
  <c r="I20" i="10"/>
  <c r="O20" i="10" s="1"/>
  <c r="H20" i="10"/>
  <c r="G20" i="10"/>
  <c r="P19" i="10"/>
  <c r="O19" i="10"/>
  <c r="N19" i="10"/>
  <c r="M19" i="10"/>
  <c r="L19" i="10"/>
  <c r="K19" i="10"/>
  <c r="J19" i="10"/>
  <c r="I19" i="10"/>
  <c r="H19" i="10"/>
  <c r="G19" i="10"/>
  <c r="P18" i="10"/>
  <c r="N18" i="10"/>
  <c r="M18" i="10"/>
  <c r="L18" i="10"/>
  <c r="K18" i="10"/>
  <c r="J18" i="10"/>
  <c r="I18" i="10"/>
  <c r="O18" i="10" s="1"/>
  <c r="H18" i="10"/>
  <c r="G18" i="10"/>
  <c r="P17" i="10"/>
  <c r="O17" i="10"/>
  <c r="N17" i="10"/>
  <c r="M17" i="10"/>
  <c r="L17" i="10"/>
  <c r="K17" i="10"/>
  <c r="J17" i="10"/>
  <c r="I17" i="10"/>
  <c r="H17" i="10"/>
  <c r="G17" i="10"/>
  <c r="P16" i="10"/>
  <c r="N16" i="10"/>
  <c r="M16" i="10"/>
  <c r="L16" i="10"/>
  <c r="K16" i="10"/>
  <c r="J16" i="10"/>
  <c r="I16" i="10"/>
  <c r="O16" i="10" s="1"/>
  <c r="H16" i="10"/>
  <c r="G16" i="10"/>
  <c r="P15" i="10"/>
  <c r="O15" i="10"/>
  <c r="N15" i="10"/>
  <c r="M15" i="10"/>
  <c r="L15" i="10"/>
  <c r="K15" i="10"/>
  <c r="J15" i="10"/>
  <c r="I15" i="10"/>
  <c r="H15" i="10"/>
  <c r="G15" i="10"/>
  <c r="P14" i="10"/>
  <c r="N14" i="10"/>
  <c r="M14" i="10"/>
  <c r="L14" i="10"/>
  <c r="K14" i="10"/>
  <c r="J14" i="10"/>
  <c r="I14" i="10"/>
  <c r="O14" i="10" s="1"/>
  <c r="H14" i="10"/>
  <c r="G14" i="10"/>
  <c r="P13" i="10"/>
  <c r="O13" i="10"/>
  <c r="N13" i="10"/>
  <c r="M13" i="10"/>
  <c r="L13" i="10"/>
  <c r="K13" i="10"/>
  <c r="J13" i="10"/>
  <c r="I13" i="10"/>
  <c r="H13" i="10"/>
  <c r="G13" i="10"/>
  <c r="P12" i="10"/>
  <c r="N12" i="10"/>
  <c r="M12" i="10"/>
  <c r="L12" i="10"/>
  <c r="K12" i="10"/>
  <c r="J12" i="10"/>
  <c r="I12" i="10"/>
  <c r="O12" i="10" s="1"/>
  <c r="H12" i="10"/>
  <c r="G12" i="10"/>
  <c r="P11" i="10"/>
  <c r="O11" i="10"/>
  <c r="N11" i="10"/>
  <c r="M11" i="10"/>
  <c r="L11" i="10"/>
  <c r="K11" i="10"/>
  <c r="J11" i="10"/>
  <c r="I11" i="10"/>
  <c r="H11" i="10"/>
  <c r="G11" i="10"/>
  <c r="P10" i="10"/>
  <c r="N10" i="10"/>
  <c r="M10" i="10"/>
  <c r="L10" i="10"/>
  <c r="K10" i="10"/>
  <c r="J10" i="10"/>
  <c r="I10" i="10"/>
  <c r="O10" i="10" s="1"/>
  <c r="H10" i="10"/>
  <c r="G10" i="10"/>
  <c r="P9" i="10"/>
  <c r="O9" i="10"/>
  <c r="N9" i="10"/>
  <c r="M9" i="10"/>
  <c r="L9" i="10"/>
  <c r="K9" i="10"/>
  <c r="J9" i="10"/>
  <c r="I9" i="10"/>
  <c r="H9" i="10"/>
  <c r="G9" i="10"/>
  <c r="P8" i="10"/>
  <c r="N8" i="10"/>
  <c r="M8" i="10"/>
  <c r="L8" i="10"/>
  <c r="K8" i="10"/>
  <c r="J8" i="10"/>
  <c r="I8" i="10"/>
  <c r="O8" i="10" s="1"/>
  <c r="H8" i="10"/>
  <c r="G8" i="10"/>
  <c r="P7" i="10"/>
  <c r="O7" i="10"/>
  <c r="N7" i="10"/>
  <c r="M7" i="10"/>
  <c r="L7" i="10"/>
  <c r="K7" i="10"/>
  <c r="J7" i="10"/>
  <c r="I7" i="10"/>
  <c r="H7" i="10"/>
  <c r="G7" i="10"/>
  <c r="P6" i="10"/>
  <c r="N6" i="10"/>
  <c r="M6" i="10"/>
  <c r="L6" i="10"/>
  <c r="K6" i="10"/>
  <c r="J6" i="10"/>
  <c r="I6" i="10"/>
  <c r="O6" i="10" s="1"/>
  <c r="H6" i="10"/>
  <c r="G6" i="10"/>
  <c r="P5" i="10"/>
  <c r="O5" i="10"/>
  <c r="N5" i="10"/>
  <c r="M5" i="10"/>
  <c r="L5" i="10"/>
  <c r="K5" i="10"/>
  <c r="J5" i="10"/>
  <c r="I5" i="10"/>
  <c r="H5" i="10"/>
  <c r="G5" i="10"/>
  <c r="P4" i="10"/>
  <c r="N4" i="10"/>
  <c r="M4" i="10"/>
  <c r="L4" i="10"/>
  <c r="K4" i="10"/>
  <c r="J4" i="10"/>
  <c r="I4" i="10"/>
  <c r="O4" i="10" s="1"/>
  <c r="H4" i="10"/>
  <c r="G4" i="10"/>
  <c r="P3" i="10"/>
  <c r="O3" i="10"/>
  <c r="N3" i="10"/>
  <c r="M3" i="10"/>
  <c r="L3" i="10"/>
  <c r="K3" i="10"/>
  <c r="J3" i="10"/>
  <c r="I3" i="10"/>
  <c r="H3" i="10"/>
  <c r="G3" i="10"/>
  <c r="P2" i="10"/>
  <c r="N2" i="10"/>
  <c r="M2" i="10"/>
  <c r="L2" i="10"/>
  <c r="K2" i="10"/>
  <c r="J2" i="10"/>
  <c r="I2" i="10"/>
  <c r="O2" i="10" s="1"/>
  <c r="H2" i="10"/>
  <c r="G2" i="10"/>
  <c r="K15" i="16"/>
  <c r="C3" i="16"/>
  <c r="A3" i="16"/>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shboard.xlsx!Table2" type="102" refreshedVersion="5" minRefreshableVersion="5">
    <extLst>
      <ext xmlns:x15="http://schemas.microsoft.com/office/spreadsheetml/2010/11/main" uri="{DE250136-89BD-433C-8126-D09CA5730AF9}">
        <x15:connection id="Table2-ad48b252-0811-42bf-b895-8f4c451d4cf6" autoDelete="1">
          <x15:rangePr sourceName="_xlcn.WorksheetConnection_dashboard.xlsxTable2"/>
        </x15:connection>
      </ext>
    </extLst>
  </connection>
</connections>
</file>

<file path=xl/sharedStrings.xml><?xml version="1.0" encoding="utf-8"?>
<sst xmlns="http://schemas.openxmlformats.org/spreadsheetml/2006/main" count="1725" uniqueCount="380">
  <si>
    <t>Customer ID</t>
  </si>
  <si>
    <t>Age</t>
  </si>
  <si>
    <t>Location</t>
  </si>
  <si>
    <t>C009</t>
  </si>
  <si>
    <t>Calabar</t>
  </si>
  <si>
    <t>C008</t>
  </si>
  <si>
    <t>Owerri</t>
  </si>
  <si>
    <t>C010</t>
  </si>
  <si>
    <t>Grace Anderson</t>
  </si>
  <si>
    <t>Female</t>
  </si>
  <si>
    <t>Abeokuta</t>
  </si>
  <si>
    <t>C139</t>
  </si>
  <si>
    <t>Male</t>
  </si>
  <si>
    <t>Uyo</t>
  </si>
  <si>
    <t>C047</t>
  </si>
  <si>
    <t>Ilorin</t>
  </si>
  <si>
    <t>C060</t>
  </si>
  <si>
    <t>Enugu</t>
  </si>
  <si>
    <t>C018</t>
  </si>
  <si>
    <t>Lagos</t>
  </si>
  <si>
    <t>C091</t>
  </si>
  <si>
    <t>C077</t>
  </si>
  <si>
    <t>Jos</t>
  </si>
  <si>
    <t>C114</t>
  </si>
  <si>
    <t>Warri</t>
  </si>
  <si>
    <t>C051</t>
  </si>
  <si>
    <t>C118</t>
  </si>
  <si>
    <t>Kano</t>
  </si>
  <si>
    <t>C126</t>
  </si>
  <si>
    <t>C096</t>
  </si>
  <si>
    <t>C116</t>
  </si>
  <si>
    <t>C129</t>
  </si>
  <si>
    <t>C028</t>
  </si>
  <si>
    <t>Emeka Eze</t>
  </si>
  <si>
    <t>Abuja</t>
  </si>
  <si>
    <t>C097</t>
  </si>
  <si>
    <t>C071</t>
  </si>
  <si>
    <t>Benin City</t>
  </si>
  <si>
    <t>C006</t>
  </si>
  <si>
    <t>C015</t>
  </si>
  <si>
    <t>C098</t>
  </si>
  <si>
    <t>C106</t>
  </si>
  <si>
    <t>C057</t>
  </si>
  <si>
    <t>Chioma Brown</t>
  </si>
  <si>
    <t>C046</t>
  </si>
  <si>
    <t>C131</t>
  </si>
  <si>
    <t>Amara Smith</t>
  </si>
  <si>
    <t>C093</t>
  </si>
  <si>
    <t>C110</t>
  </si>
  <si>
    <t>Michael Garba</t>
  </si>
  <si>
    <t>C053</t>
  </si>
  <si>
    <t>C063</t>
  </si>
  <si>
    <t>Linda Martin</t>
  </si>
  <si>
    <t>C128</t>
  </si>
  <si>
    <t>C031</t>
  </si>
  <si>
    <t>C058</t>
  </si>
  <si>
    <t>Kaduna</t>
  </si>
  <si>
    <t>C079</t>
  </si>
  <si>
    <t>Zainab Miller</t>
  </si>
  <si>
    <t>C037</t>
  </si>
  <si>
    <t>David Brown</t>
  </si>
  <si>
    <t>Ibadan</t>
  </si>
  <si>
    <t>C048</t>
  </si>
  <si>
    <t>C023</t>
  </si>
  <si>
    <t>Daniel Jackson</t>
  </si>
  <si>
    <t>C135</t>
  </si>
  <si>
    <t>Nancy Martin</t>
  </si>
  <si>
    <t>C072</t>
  </si>
  <si>
    <t>Karen Adeyemi</t>
  </si>
  <si>
    <t>C011</t>
  </si>
  <si>
    <t>C107</t>
  </si>
  <si>
    <t>C035</t>
  </si>
  <si>
    <t>C017</t>
  </si>
  <si>
    <t>Port Harcourt</t>
  </si>
  <si>
    <t>C092</t>
  </si>
  <si>
    <t>C007</t>
  </si>
  <si>
    <t>C070</t>
  </si>
  <si>
    <t>Tunde Smith</t>
  </si>
  <si>
    <t>C025</t>
  </si>
  <si>
    <t>C087</t>
  </si>
  <si>
    <t>Grace Williams</t>
  </si>
  <si>
    <t>C068</t>
  </si>
  <si>
    <t>Michael Wilson</t>
  </si>
  <si>
    <t>C012</t>
  </si>
  <si>
    <t>Linda Smith</t>
  </si>
  <si>
    <t>C080</t>
  </si>
  <si>
    <t>C043</t>
  </si>
  <si>
    <t>C105</t>
  </si>
  <si>
    <t>C066</t>
  </si>
  <si>
    <t>C136</t>
  </si>
  <si>
    <t>C101</t>
  </si>
  <si>
    <t>C083</t>
  </si>
  <si>
    <t>C062</t>
  </si>
  <si>
    <t>C055</t>
  </si>
  <si>
    <t>C133</t>
  </si>
  <si>
    <t>C021</t>
  </si>
  <si>
    <t>James Harris</t>
  </si>
  <si>
    <t>C088</t>
  </si>
  <si>
    <t>C108</t>
  </si>
  <si>
    <t>C013</t>
  </si>
  <si>
    <t>C034</t>
  </si>
  <si>
    <t>Yusuf Thomas</t>
  </si>
  <si>
    <t>C059</t>
  </si>
  <si>
    <t>C016</t>
  </si>
  <si>
    <t>Peter Balogun</t>
  </si>
  <si>
    <t>C024</t>
  </si>
  <si>
    <t>C095</t>
  </si>
  <si>
    <t>C075</t>
  </si>
  <si>
    <t>C030</t>
  </si>
  <si>
    <t>C054</t>
  </si>
  <si>
    <t>C076</t>
  </si>
  <si>
    <t>Michael Martin</t>
  </si>
  <si>
    <t>C099</t>
  </si>
  <si>
    <t>C032</t>
  </si>
  <si>
    <t>C001</t>
  </si>
  <si>
    <t>C100</t>
  </si>
  <si>
    <t>Fatima Chukwu</t>
  </si>
  <si>
    <t>C138</t>
  </si>
  <si>
    <t>C117</t>
  </si>
  <si>
    <t>C003</t>
  </si>
  <si>
    <t>C103</t>
  </si>
  <si>
    <t>C038</t>
  </si>
  <si>
    <t>C081</t>
  </si>
  <si>
    <t>C065</t>
  </si>
  <si>
    <t>C029</t>
  </si>
  <si>
    <t>C089</t>
  </si>
  <si>
    <t>C112</t>
  </si>
  <si>
    <t>C002</t>
  </si>
  <si>
    <t>C005</t>
  </si>
  <si>
    <t>C027</t>
  </si>
  <si>
    <t>Paul Johnson</t>
  </si>
  <si>
    <t>C111</t>
  </si>
  <si>
    <t>C109</t>
  </si>
  <si>
    <t>Nancy Uche</t>
  </si>
  <si>
    <t>C082</t>
  </si>
  <si>
    <t>C121</t>
  </si>
  <si>
    <t>C120</t>
  </si>
  <si>
    <t>Rita Brown</t>
  </si>
  <si>
    <t>C036</t>
  </si>
  <si>
    <t>C056</t>
  </si>
  <si>
    <t>Aisha Bello</t>
  </si>
  <si>
    <t>C115</t>
  </si>
  <si>
    <t>C127</t>
  </si>
  <si>
    <t>C039</t>
  </si>
  <si>
    <t>C102</t>
  </si>
  <si>
    <t>C019</t>
  </si>
  <si>
    <t>C020</t>
  </si>
  <si>
    <t>C140</t>
  </si>
  <si>
    <t>C026</t>
  </si>
  <si>
    <t>Tunde Balogun</t>
  </si>
  <si>
    <t>C124</t>
  </si>
  <si>
    <t>C085</t>
  </si>
  <si>
    <t>C022</t>
  </si>
  <si>
    <t>C014</t>
  </si>
  <si>
    <t>C094</t>
  </si>
  <si>
    <t>C123</t>
  </si>
  <si>
    <t>C125</t>
  </si>
  <si>
    <t>C067</t>
  </si>
  <si>
    <t>C049</t>
  </si>
  <si>
    <t>Blessing Taylor</t>
  </si>
  <si>
    <t>C134</t>
  </si>
  <si>
    <t>C042</t>
  </si>
  <si>
    <t>C090</t>
  </si>
  <si>
    <t>Peter Abubakar</t>
  </si>
  <si>
    <t>C084</t>
  </si>
  <si>
    <t>C064</t>
  </si>
  <si>
    <t>Angela Harris</t>
  </si>
  <si>
    <t>C137</t>
  </si>
  <si>
    <t>C040</t>
  </si>
  <si>
    <t>C078</t>
  </si>
  <si>
    <t>C069</t>
  </si>
  <si>
    <t>C050</t>
  </si>
  <si>
    <t>C130</t>
  </si>
  <si>
    <t>C061</t>
  </si>
  <si>
    <t>C119</t>
  </si>
  <si>
    <t>Product ID</t>
  </si>
  <si>
    <t>Category</t>
  </si>
  <si>
    <t>Product Name</t>
  </si>
  <si>
    <t>Price</t>
  </si>
  <si>
    <t>P01</t>
  </si>
  <si>
    <t>Clothing</t>
  </si>
  <si>
    <t>Ankara Dress</t>
  </si>
  <si>
    <t>P02</t>
  </si>
  <si>
    <t>Denim Jacket</t>
  </si>
  <si>
    <t>P03</t>
  </si>
  <si>
    <t>Silk Blouse</t>
  </si>
  <si>
    <t>P04</t>
  </si>
  <si>
    <t>Maxi Gown</t>
  </si>
  <si>
    <t>P05</t>
  </si>
  <si>
    <t>Linen Trousers</t>
  </si>
  <si>
    <t>P06</t>
  </si>
  <si>
    <t>Kaftan</t>
  </si>
  <si>
    <t>P07</t>
  </si>
  <si>
    <t>Blazer</t>
  </si>
  <si>
    <t>P08</t>
  </si>
  <si>
    <t>Jumpsuit</t>
  </si>
  <si>
    <t>P09</t>
  </si>
  <si>
    <t>Wrap Skirt</t>
  </si>
  <si>
    <t>P10</t>
  </si>
  <si>
    <t>Knit Sweater</t>
  </si>
  <si>
    <t>P11</t>
  </si>
  <si>
    <t>Accessories</t>
  </si>
  <si>
    <t>Beaded Necklace</t>
  </si>
  <si>
    <t>P12</t>
  </si>
  <si>
    <t>Leather Handbag</t>
  </si>
  <si>
    <t>P13</t>
  </si>
  <si>
    <t>Sunglasses</t>
  </si>
  <si>
    <t>P14</t>
  </si>
  <si>
    <t>Hair Scarf</t>
  </si>
  <si>
    <t>P15</t>
  </si>
  <si>
    <t>Tote Bag</t>
  </si>
  <si>
    <t>P16</t>
  </si>
  <si>
    <t>Bangle Set</t>
  </si>
  <si>
    <t>P17</t>
  </si>
  <si>
    <t>Ankle Boots</t>
  </si>
  <si>
    <t>P18</t>
  </si>
  <si>
    <t>Clutch Purse</t>
  </si>
  <si>
    <t>P19</t>
  </si>
  <si>
    <t>Earrings</t>
  </si>
  <si>
    <t>P20</t>
  </si>
  <si>
    <t>Waist Belt</t>
  </si>
  <si>
    <t>Promo Code</t>
  </si>
  <si>
    <t>Discount</t>
  </si>
  <si>
    <t>WELCOME10</t>
  </si>
  <si>
    <t>SEASON15</t>
  </si>
  <si>
    <t>VIP20</t>
  </si>
  <si>
    <t>FLASH5</t>
  </si>
  <si>
    <t>Order ID</t>
  </si>
  <si>
    <t>Order Date</t>
  </si>
  <si>
    <t>Payment Method</t>
  </si>
  <si>
    <t>C004</t>
  </si>
  <si>
    <t>Bank Transfer</t>
  </si>
  <si>
    <t>C122</t>
  </si>
  <si>
    <t>Card</t>
  </si>
  <si>
    <t>Debit Card</t>
  </si>
  <si>
    <t>C074</t>
  </si>
  <si>
    <t>C132</t>
  </si>
  <si>
    <t>C073</t>
  </si>
  <si>
    <t>C052</t>
  </si>
  <si>
    <t>C113</t>
  </si>
  <si>
    <t>C104</t>
  </si>
  <si>
    <t>C033</t>
  </si>
  <si>
    <t>C041</t>
  </si>
  <si>
    <t>C045</t>
  </si>
  <si>
    <t>C044</t>
  </si>
  <si>
    <t>C086</t>
  </si>
  <si>
    <t xml:space="preserve">Gender </t>
  </si>
  <si>
    <t>Linda Davis</t>
  </si>
  <si>
    <t>Rita Abubakar</t>
  </si>
  <si>
    <t>Daniel White</t>
  </si>
  <si>
    <t>Tunde Jackson</t>
  </si>
  <si>
    <t>Ifeoma Chukwu</t>
  </si>
  <si>
    <t>Tunde Uche</t>
  </si>
  <si>
    <t>James Balogun</t>
  </si>
  <si>
    <t>Laura Eze</t>
  </si>
  <si>
    <t>Amara Johnson</t>
  </si>
  <si>
    <t>John Okoro</t>
  </si>
  <si>
    <t>Blessing Moore</t>
  </si>
  <si>
    <t>Angela Wilson</t>
  </si>
  <si>
    <t>Sarah Eze</t>
  </si>
  <si>
    <t>Yusuf Garba</t>
  </si>
  <si>
    <t>Yusuf Adeyemi</t>
  </si>
  <si>
    <t>Steven Johnson</t>
  </si>
  <si>
    <t>William Wilson</t>
  </si>
  <si>
    <t>Musa Harris</t>
  </si>
  <si>
    <t>Halima Nwosu</t>
  </si>
  <si>
    <t>Aisha Johnson</t>
  </si>
  <si>
    <t>Peter Johnson</t>
  </si>
  <si>
    <t>Rita Moore</t>
  </si>
  <si>
    <t>Nancy Okafor</t>
  </si>
  <si>
    <t>Halima Miller</t>
  </si>
  <si>
    <t>Mark Balogun</t>
  </si>
  <si>
    <t>Emily Harris</t>
  </si>
  <si>
    <t>Aisha Garba</t>
  </si>
  <si>
    <t>Adaeze Thomas</t>
  </si>
  <si>
    <t>Chioma Balogun</t>
  </si>
  <si>
    <t>Nancy Davis</t>
  </si>
  <si>
    <t>Nkechi Bello</t>
  </si>
  <si>
    <t>Blessing Nwosu</t>
  </si>
  <si>
    <t>Zainab Martin</t>
  </si>
  <si>
    <t>Grace Taylor</t>
  </si>
  <si>
    <t>Emeka Moore</t>
  </si>
  <si>
    <t>David Ibrahim</t>
  </si>
  <si>
    <t>Adaeze Smith</t>
  </si>
  <si>
    <t>Tunde Eze</t>
  </si>
  <si>
    <t>Amara Eze</t>
  </si>
  <si>
    <t>Grace Aliyu</t>
  </si>
  <si>
    <t>Paul Davis</t>
  </si>
  <si>
    <t>Zainab White</t>
  </si>
  <si>
    <t>Laura Davis</t>
  </si>
  <si>
    <t>Amara Chukwu</t>
  </si>
  <si>
    <t>Adaeze Eze</t>
  </si>
  <si>
    <t>Fatima Eze</t>
  </si>
  <si>
    <t>Tunde Abubakar</t>
  </si>
  <si>
    <t>Sarah Williams</t>
  </si>
  <si>
    <t>Brian Chukwu</t>
  </si>
  <si>
    <t>Amara Thomas</t>
  </si>
  <si>
    <t>Grace Wilson</t>
  </si>
  <si>
    <t>Ngozi Jackson</t>
  </si>
  <si>
    <t>Amara Okafor</t>
  </si>
  <si>
    <t>Emeka Abubakar</t>
  </si>
  <si>
    <t>Chinedu Moore</t>
  </si>
  <si>
    <t>Grace Johnson</t>
  </si>
  <si>
    <t>Karen Smith</t>
  </si>
  <si>
    <t>John Adeyemi</t>
  </si>
  <si>
    <t>Paul Eze</t>
  </si>
  <si>
    <t>Ngozi Williams</t>
  </si>
  <si>
    <t>Ifeoma Martin</t>
  </si>
  <si>
    <t>Musa Williams</t>
  </si>
  <si>
    <t>Tunde Wilson</t>
  </si>
  <si>
    <t>Paul Aliyu</t>
  </si>
  <si>
    <t>Ngozi Abubakar</t>
  </si>
  <si>
    <t>Rita Smith</t>
  </si>
  <si>
    <t>Nancy Brown</t>
  </si>
  <si>
    <t>Chukwudi Adeyemi</t>
  </si>
  <si>
    <t>Kelechi Bello</t>
  </si>
  <si>
    <t>Yusuf Ibrahim</t>
  </si>
  <si>
    <t>Tunde Suleiman</t>
  </si>
  <si>
    <t>Sarah Jackson</t>
  </si>
  <si>
    <t>Robert Ibrahim</t>
  </si>
  <si>
    <t>Halima Balogun</t>
  </si>
  <si>
    <t>Karen Bello</t>
  </si>
  <si>
    <t>David Harris</t>
  </si>
  <si>
    <t>Emeka Harris</t>
  </si>
  <si>
    <t>Emeka Martin</t>
  </si>
  <si>
    <t>Chioma Wilson</t>
  </si>
  <si>
    <t>Kevin Wilson</t>
  </si>
  <si>
    <t>Steven Williams</t>
  </si>
  <si>
    <t>Tunde Davis</t>
  </si>
  <si>
    <t>Grace Okafor</t>
  </si>
  <si>
    <t>Chioma Suleiman</t>
  </si>
  <si>
    <t>Karen Anderson</t>
  </si>
  <si>
    <t>Chukwudi Uche</t>
  </si>
  <si>
    <t>Fatima Okoro</t>
  </si>
  <si>
    <t>Musa Smith</t>
  </si>
  <si>
    <t>James Brown</t>
  </si>
  <si>
    <t>James Smith</t>
  </si>
  <si>
    <t>Mark Davis</t>
  </si>
  <si>
    <t>Yusuf Johnson</t>
  </si>
  <si>
    <t>Daniel Thomas</t>
  </si>
  <si>
    <t>Ifeoma Aliyu</t>
  </si>
  <si>
    <t>Mark Okoro</t>
  </si>
  <si>
    <t>John Balogun</t>
  </si>
  <si>
    <t>Nkechi Okoro</t>
  </si>
  <si>
    <t>Nancy Moore</t>
  </si>
  <si>
    <t>Linda Miller</t>
  </si>
  <si>
    <t>Nkechi White</t>
  </si>
  <si>
    <t>Linda Chukwu</t>
  </si>
  <si>
    <t>Halima Moore</t>
  </si>
  <si>
    <t>Peter Suleiman</t>
  </si>
  <si>
    <t>Customer name</t>
  </si>
  <si>
    <t>Unknown</t>
  </si>
  <si>
    <t>Cash on Delivery</t>
  </si>
  <si>
    <t>PayPal</t>
  </si>
  <si>
    <t>Customer Name</t>
  </si>
  <si>
    <t>Gender</t>
  </si>
  <si>
    <t xml:space="preserve">Customer ID </t>
  </si>
  <si>
    <t>Season</t>
  </si>
  <si>
    <t>Age Group</t>
  </si>
  <si>
    <t>Repeat Customer</t>
  </si>
  <si>
    <t>Sum of Price</t>
  </si>
  <si>
    <t>Average of Price2</t>
  </si>
  <si>
    <t>Row Labels</t>
  </si>
  <si>
    <t>Grand Total</t>
  </si>
  <si>
    <t>Distinct Count of Customer ID</t>
  </si>
  <si>
    <t>20-40</t>
  </si>
  <si>
    <t>Spring</t>
  </si>
  <si>
    <t>Summer</t>
  </si>
  <si>
    <t>Winter</t>
  </si>
  <si>
    <t>Column Labels</t>
  </si>
  <si>
    <t>Count of Order ID</t>
  </si>
  <si>
    <t>Count of Promo Code</t>
  </si>
  <si>
    <t>One-Time Customer</t>
  </si>
  <si>
    <t>Promo Used</t>
  </si>
  <si>
    <t>No Code</t>
  </si>
  <si>
    <t>Used Code</t>
  </si>
  <si>
    <t>Count of Customer ID</t>
  </si>
  <si>
    <t>Percentage of promo code</t>
  </si>
  <si>
    <t>40-60</t>
  </si>
  <si>
    <t>Fall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</si>
</sst>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11" x14ac:knownFonts="1">
    <font>
      <sz val="11"/>
      <color theme="1"/>
      <name val="Calibri"/>
      <family val="2"/>
      <scheme val="minor"/>
    </font>
    <font>
      <sz val="10"/>
      <color theme="1" tint="4.9989318521683403E-2"/>
      <name val="Calibri"/>
      <family val="2"/>
      <scheme val="minor"/>
    </font>
    <font>
      <sz val="10"/>
      <color theme="1" tint="4.9989318521683403E-2"/>
      <name val="Arial"/>
      <family val="2"/>
    </font>
    <font>
      <b/>
      <i/>
      <sz val="10"/>
      <color theme="1" tint="4.9989318521683403E-2"/>
      <name val="Arial"/>
      <family val="2"/>
    </font>
    <font>
      <i/>
      <sz val="10"/>
      <color theme="1" tint="4.9989318521683403E-2"/>
      <name val="Calibri"/>
      <family val="2"/>
      <scheme val="minor"/>
    </font>
    <font>
      <b/>
      <i/>
      <sz val="10"/>
      <color theme="1" tint="4.9989318521683403E-2"/>
      <name val="Calibri"/>
      <family val="2"/>
      <scheme val="minor"/>
    </font>
    <font>
      <b/>
      <i/>
      <sz val="11"/>
      <name val="Calibri"/>
      <family val="2"/>
      <scheme val="minor"/>
    </font>
    <font>
      <sz val="11"/>
      <name val="Calibri"/>
      <family val="2"/>
      <scheme val="minor"/>
    </font>
    <font>
      <sz val="11"/>
      <color theme="1"/>
      <name val="Calibri"/>
      <family val="2"/>
      <scheme val="minor"/>
    </font>
    <font>
      <b/>
      <sz val="11"/>
      <color theme="1"/>
      <name val="Calibri"/>
      <family val="2"/>
      <scheme val="minor"/>
    </font>
    <font>
      <b/>
      <i/>
      <sz val="11"/>
      <color theme="0"/>
      <name val="Calibri"/>
      <family val="2"/>
      <scheme val="minor"/>
    </font>
  </fonts>
  <fills count="4">
    <fill>
      <patternFill patternType="none"/>
    </fill>
    <fill>
      <patternFill patternType="gray125"/>
    </fill>
    <fill>
      <patternFill patternType="solid">
        <fgColor theme="7" tint="-0.249977111117893"/>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9" fontId="8" fillId="0" borderId="0" applyFont="0" applyFill="0" applyBorder="0" applyAlignment="0" applyProtection="0"/>
  </cellStyleXfs>
  <cellXfs count="21">
    <xf numFmtId="0" fontId="0" fillId="0" borderId="0" xfId="0"/>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9" fontId="7" fillId="0" borderId="0" xfId="0" applyNumberFormat="1" applyFont="1" applyAlignment="1">
      <alignment horizontal="center"/>
    </xf>
    <xf numFmtId="164" fontId="7" fillId="0" borderId="0" xfId="0" applyNumberFormat="1" applyFont="1" applyAlignment="1">
      <alignment horizontal="center"/>
    </xf>
    <xf numFmtId="0" fontId="0" fillId="0" borderId="0" xfId="0" applyNumberFormat="1"/>
    <xf numFmtId="0" fontId="0" fillId="0" borderId="0" xfId="0" applyAlignment="1">
      <alignment horizontal="left"/>
    </xf>
    <xf numFmtId="0" fontId="0" fillId="0" borderId="0" xfId="0" pivotButton="1"/>
    <xf numFmtId="0" fontId="0" fillId="2" borderId="0" xfId="0" applyFill="1"/>
    <xf numFmtId="0" fontId="0" fillId="2" borderId="0" xfId="0" applyFill="1" applyBorder="1"/>
    <xf numFmtId="9" fontId="0" fillId="0" borderId="0" xfId="1" applyFont="1" applyAlignment="1">
      <alignment horizontal="center"/>
    </xf>
    <xf numFmtId="0" fontId="0" fillId="0" borderId="0" xfId="0" applyNumberFormat="1" applyAlignment="1">
      <alignment horizontal="center"/>
    </xf>
    <xf numFmtId="0" fontId="0" fillId="0" borderId="0" xfId="0" pivotButton="1" applyAlignment="1">
      <alignment horizontal="center"/>
    </xf>
    <xf numFmtId="0" fontId="10" fillId="0" borderId="0" xfId="0" applyFont="1" applyAlignment="1">
      <alignment horizontal="center"/>
    </xf>
    <xf numFmtId="0" fontId="9" fillId="3" borderId="0" xfId="0" applyFont="1" applyFill="1"/>
  </cellXfs>
  <cellStyles count="2">
    <cellStyle name="Normal" xfId="0" builtinId="0"/>
    <cellStyle name="Percent" xfId="1" builtinId="5"/>
  </cellStyles>
  <dxfs count="89">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4" formatCode="mm/dd/yyyy"/>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strike val="0"/>
        <condense val="0"/>
        <extend val="0"/>
        <outline val="0"/>
        <shadow val="0"/>
        <u val="none"/>
        <vertAlign val="baseline"/>
        <sz val="11"/>
        <color theme="0"/>
        <name val="Calibri"/>
        <scheme val="minor"/>
      </font>
      <alignment horizontal="center" vertical="bottom" textRotation="0" wrapText="0" indent="0" justifyLastLine="0" shrinkToFi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[Boutique Dashboard project.xlsx]DashboardData!PivotTable1</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tifakt Element Black" panose="020B0A03050000020004" pitchFamily="34" charset="0"/>
                <a:ea typeface="Artifakt Element Black" panose="020B0A03050000020004" pitchFamily="34" charset="0"/>
                <a:cs typeface="+mn-cs"/>
              </a:defRPr>
            </a:pPr>
            <a:r>
              <a:rPr lang="en-US" sz="1200">
                <a:latin typeface="Artifakt Element Black" panose="020B0A03050000020004" pitchFamily="34" charset="0"/>
                <a:ea typeface="Artifakt Element Black" panose="020B0A03050000020004" pitchFamily="34" charset="0"/>
              </a:rPr>
              <a:t>Seasonal</a:t>
            </a:r>
            <a:r>
              <a:rPr lang="en-US" sz="1200" baseline="0">
                <a:latin typeface="Artifakt Element Black" panose="020B0A03050000020004" pitchFamily="34" charset="0"/>
                <a:ea typeface="Artifakt Element Black" panose="020B0A03050000020004" pitchFamily="34" charset="0"/>
              </a:rPr>
              <a:t> revenue by category</a:t>
            </a:r>
            <a:endParaRPr lang="en-US" sz="1200">
              <a:latin typeface="Artifakt Element Black" panose="020B0A03050000020004" pitchFamily="34" charset="0"/>
              <a:ea typeface="Artifakt Element Black" panose="020B0A03050000020004" pitchFamily="34" charset="0"/>
            </a:endParaRPr>
          </a:p>
        </c:rich>
      </c:tx>
      <c:layout>
        <c:manualLayout>
          <c:xMode val="edge"/>
          <c:yMode val="edge"/>
          <c:x val="0.14772315224201413"/>
          <c:y val="4.064616922884640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tifakt Element Black" panose="020B0A03050000020004" pitchFamily="34" charset="0"/>
              <a:ea typeface="Artifakt Element Black" panose="020B0A03050000020004" pitchFamily="34" charset="0"/>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s>
    <c:plotArea>
      <c:layout/>
      <c:barChart>
        <c:barDir val="col"/>
        <c:grouping val="clustered"/>
        <c:varyColors val="0"/>
        <c:ser>
          <c:idx val="0"/>
          <c:order val="0"/>
          <c:tx>
            <c:strRef>
              <c:f>DashboardData!$I$20</c:f>
              <c:strCache>
                <c:ptCount val="1"/>
                <c:pt idx="0">
                  <c:v>Total</c:v>
                </c:pt>
              </c:strCache>
            </c:strRef>
          </c:tx>
          <c:spPr>
            <a:solidFill>
              <a:schemeClr val="accent2"/>
            </a:solidFill>
            <a:ln>
              <a:noFill/>
            </a:ln>
            <a:effectLst/>
          </c:spPr>
          <c:invertIfNegative val="0"/>
          <c:cat>
            <c:strRef>
              <c:f>DashboardData!$H$21:$H$23</c:f>
              <c:strCache>
                <c:ptCount val="2"/>
                <c:pt idx="0">
                  <c:v>No Code</c:v>
                </c:pt>
                <c:pt idx="1">
                  <c:v>Used Code</c:v>
                </c:pt>
              </c:strCache>
            </c:strRef>
          </c:cat>
          <c:val>
            <c:numRef>
              <c:f>DashboardData!$I$21:$I$23</c:f>
              <c:numCache>
                <c:formatCode>General</c:formatCode>
                <c:ptCount val="2"/>
                <c:pt idx="0">
                  <c:v>3</c:v>
                </c:pt>
                <c:pt idx="1">
                  <c:v>3</c:v>
                </c:pt>
              </c:numCache>
            </c:numRef>
          </c:val>
        </c:ser>
        <c:dLbls>
          <c:showLegendKey val="0"/>
          <c:showVal val="0"/>
          <c:showCatName val="0"/>
          <c:showSerName val="0"/>
          <c:showPercent val="0"/>
          <c:showBubbleSize val="0"/>
        </c:dLbls>
        <c:gapWidth val="219"/>
        <c:overlap val="-27"/>
        <c:axId val="258043560"/>
        <c:axId val="293776512"/>
      </c:barChart>
      <c:catAx>
        <c:axId val="258043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76512"/>
        <c:crosses val="autoZero"/>
        <c:auto val="1"/>
        <c:lblAlgn val="ctr"/>
        <c:lblOffset val="100"/>
        <c:noMultiLvlLbl val="0"/>
      </c:catAx>
      <c:valAx>
        <c:axId val="2937765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043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[Boutique Dashboard project.xlsx]DashboardData!PivotTable3</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tifakt Element Black" panose="020B0A03050000020004" pitchFamily="34" charset="0"/>
                <a:ea typeface="Artifakt Element Black" panose="020B0A03050000020004" pitchFamily="34" charset="0"/>
                <a:cs typeface="+mn-cs"/>
              </a:defRPr>
            </a:pPr>
            <a:r>
              <a:rPr lang="en-US" sz="1200" b="1">
                <a:latin typeface="Artifakt Element Black" panose="020B0A03050000020004" pitchFamily="34" charset="0"/>
                <a:ea typeface="Artifakt Element Black" panose="020B0A03050000020004" pitchFamily="34" charset="0"/>
              </a:rPr>
              <a:t>Top</a:t>
            </a:r>
            <a:r>
              <a:rPr lang="en-US" sz="1200" b="1" baseline="0">
                <a:latin typeface="Artifakt Element Black" panose="020B0A03050000020004" pitchFamily="34" charset="0"/>
                <a:ea typeface="Artifakt Element Black" panose="020B0A03050000020004" pitchFamily="34" charset="0"/>
              </a:rPr>
              <a:t> categories by revenue </a:t>
            </a:r>
            <a:endParaRPr lang="en-US" sz="1200" b="1">
              <a:latin typeface="Artifakt Element Black" panose="020B0A03050000020004" pitchFamily="34" charset="0"/>
              <a:ea typeface="Artifakt Element Black" panose="020B0A03050000020004" pitchFamily="34" charset="0"/>
            </a:endParaRPr>
          </a:p>
        </c:rich>
      </c:tx>
      <c:layout>
        <c:manualLayout>
          <c:xMode val="edge"/>
          <c:yMode val="edge"/>
          <c:x val="1.1308285499217826E-2"/>
          <c:y val="4.359173589942819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tifakt Element Black" panose="020B0A03050000020004" pitchFamily="34" charset="0"/>
              <a:ea typeface="Artifakt Element Black" panose="020B0A03050000020004" pitchFamily="34" charset="0"/>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458092738407698"/>
          <c:y val="4.6296296296296294E-2"/>
          <c:w val="0.86486351706036746"/>
          <c:h val="0.8416746864975212"/>
        </c:manualLayout>
      </c:layout>
      <c:barChart>
        <c:barDir val="col"/>
        <c:grouping val="clustered"/>
        <c:varyColors val="0"/>
        <c:ser>
          <c:idx val="0"/>
          <c:order val="0"/>
          <c:tx>
            <c:strRef>
              <c:f>DashboardData!$M$11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DashboardData!$L$12:$L$14</c:f>
              <c:strCache>
                <c:ptCount val="2"/>
                <c:pt idx="0">
                  <c:v>Accessories</c:v>
                </c:pt>
                <c:pt idx="1">
                  <c:v>Clothing</c:v>
                </c:pt>
              </c:strCache>
            </c:strRef>
          </c:cat>
          <c:val>
            <c:numRef>
              <c:f>DashboardData!$M$12:$M$14</c:f>
              <c:numCache>
                <c:formatCode>General</c:formatCode>
                <c:ptCount val="2"/>
                <c:pt idx="0">
                  <c:v>244</c:v>
                </c:pt>
                <c:pt idx="1">
                  <c:v>177</c:v>
                </c:pt>
              </c:numCache>
            </c:numRef>
          </c:val>
        </c:ser>
        <c:dLbls>
          <c:dLblPos val="outEnd"/>
          <c:showLegendKey val="0"/>
          <c:showVal val="1"/>
          <c:showCatName val="0"/>
          <c:showSerName val="0"/>
          <c:showPercent val="0"/>
          <c:showBubbleSize val="0"/>
        </c:dLbls>
        <c:gapWidth val="219"/>
        <c:overlap val="-27"/>
        <c:axId val="294375560"/>
        <c:axId val="296144584"/>
      </c:barChart>
      <c:catAx>
        <c:axId val="294375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44584"/>
        <c:crosses val="autoZero"/>
        <c:auto val="1"/>
        <c:lblAlgn val="ctr"/>
        <c:lblOffset val="100"/>
        <c:noMultiLvlLbl val="0"/>
      </c:catAx>
      <c:valAx>
        <c:axId val="296144584"/>
        <c:scaling>
          <c:orientation val="minMax"/>
        </c:scaling>
        <c:delete val="1"/>
        <c:axPos val="l"/>
        <c:numFmt formatCode="General" sourceLinked="1"/>
        <c:majorTickMark val="none"/>
        <c:minorTickMark val="none"/>
        <c:tickLblPos val="nextTo"/>
        <c:crossAx val="294375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[Boutique Dashboard project.xlsx]DashboardData!PivotTable1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tifakt Element Black" panose="020B0A03050000020004" pitchFamily="34" charset="0"/>
                <a:ea typeface="Artifakt Element Black" panose="020B0A03050000020004" pitchFamily="34" charset="0"/>
              </a:rPr>
              <a:t>Spending</a:t>
            </a:r>
            <a:r>
              <a:rPr lang="en-US" sz="1200" b="1" baseline="0">
                <a:latin typeface="Artifakt Element Black" panose="020B0A03050000020004" pitchFamily="34" charset="0"/>
                <a:ea typeface="Artifakt Element Black" panose="020B0A03050000020004" pitchFamily="34" charset="0"/>
              </a:rPr>
              <a:t> by gender</a:t>
            </a:r>
            <a:endParaRPr lang="en-US" sz="1200" b="1">
              <a:latin typeface="Artifakt Element Black" panose="020B0A03050000020004" pitchFamily="34" charset="0"/>
              <a:ea typeface="Artifakt Element Black" panose="020B0A03050000020004" pitchFamily="34" charset="0"/>
            </a:endParaRPr>
          </a:p>
        </c:rich>
      </c:tx>
      <c:layout>
        <c:manualLayout>
          <c:xMode val="edge"/>
          <c:yMode val="edge"/>
          <c:x val="0.17053018963265232"/>
          <c:y val="4.19351475776252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manualLayout>
          <c:layoutTarget val="inner"/>
          <c:xMode val="edge"/>
          <c:yMode val="edge"/>
          <c:x val="3.7466713903771945E-2"/>
          <c:y val="0.16875185504779386"/>
          <c:w val="0.43206669177253371"/>
          <c:h val="0.76135092688507255"/>
        </c:manualLayout>
      </c:layout>
      <c:doughnutChart>
        <c:varyColors val="1"/>
        <c:ser>
          <c:idx val="0"/>
          <c:order val="0"/>
          <c:tx>
            <c:strRef>
              <c:f>DashboardData!$I$20</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cat>
            <c:strRef>
              <c:f>DashboardData!$H$21:$H$23</c:f>
              <c:strCache>
                <c:ptCount val="2"/>
                <c:pt idx="0">
                  <c:v>No Code</c:v>
                </c:pt>
                <c:pt idx="1">
                  <c:v>Used Code</c:v>
                </c:pt>
              </c:strCache>
            </c:strRef>
          </c:cat>
          <c:val>
            <c:numRef>
              <c:f>DashboardData!$I$21:$I$23</c:f>
              <c:numCache>
                <c:formatCode>General</c:formatCode>
                <c:ptCount val="2"/>
                <c:pt idx="0">
                  <c:v>3</c:v>
                </c:pt>
                <c:pt idx="1">
                  <c:v>3</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230962845729209"/>
          <c:y val="0.35515500029190261"/>
          <c:w val="0.35863052618532326"/>
          <c:h val="0.304518235573755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[Boutique Dashboard project.xlsx]DashboardData!PivotTable1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tifakt Element Black" panose="020B0A03050000020004" pitchFamily="34" charset="0"/>
                <a:ea typeface="Artifakt Element Black" panose="020B0A03050000020004" pitchFamily="34" charset="0"/>
              </a:rPr>
              <a:t>Revenue</a:t>
            </a:r>
            <a:r>
              <a:rPr lang="en-US" sz="1200" b="1" baseline="0">
                <a:latin typeface="Artifakt Element Black" panose="020B0A03050000020004" pitchFamily="34" charset="0"/>
                <a:ea typeface="Artifakt Element Black" panose="020B0A03050000020004" pitchFamily="34" charset="0"/>
              </a:rPr>
              <a:t> by age group</a:t>
            </a:r>
            <a:endParaRPr lang="en-US" sz="1200" b="1">
              <a:latin typeface="Artifakt Element Black" panose="020B0A03050000020004" pitchFamily="34" charset="0"/>
              <a:ea typeface="Artifakt Element Black" panose="020B0A03050000020004" pitchFamily="34" charset="0"/>
            </a:endParaRPr>
          </a:p>
        </c:rich>
      </c:tx>
      <c:layout>
        <c:manualLayout>
          <c:xMode val="edge"/>
          <c:yMode val="edge"/>
          <c:x val="0.2050918692727626"/>
          <c:y val="4.217053748757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s>
    <c:plotArea>
      <c:layout/>
      <c:barChart>
        <c:barDir val="bar"/>
        <c:grouping val="clustered"/>
        <c:varyColors val="0"/>
        <c:ser>
          <c:idx val="0"/>
          <c:order val="0"/>
          <c:tx>
            <c:strRef>
              <c:f>DashboardData!$I$20</c:f>
              <c:strCache>
                <c:ptCount val="1"/>
                <c:pt idx="0">
                  <c:v>Total</c:v>
                </c:pt>
              </c:strCache>
            </c:strRef>
          </c:tx>
          <c:spPr>
            <a:solidFill>
              <a:schemeClr val="accent4"/>
            </a:solidFill>
            <a:ln>
              <a:noFill/>
            </a:ln>
            <a:effectLst/>
          </c:spPr>
          <c:invertIfNegative val="0"/>
          <c:cat>
            <c:strRef>
              <c:f>DashboardData!$H$21:$H$23</c:f>
              <c:strCache>
                <c:ptCount val="2"/>
                <c:pt idx="0">
                  <c:v>No Code</c:v>
                </c:pt>
                <c:pt idx="1">
                  <c:v>Used Code</c:v>
                </c:pt>
              </c:strCache>
            </c:strRef>
          </c:cat>
          <c:val>
            <c:numRef>
              <c:f>DashboardData!$I$21:$I$23</c:f>
              <c:numCache>
                <c:formatCode>General</c:formatCode>
                <c:ptCount val="2"/>
                <c:pt idx="0">
                  <c:v>3</c:v>
                </c:pt>
                <c:pt idx="1">
                  <c:v>3</c:v>
                </c:pt>
              </c:numCache>
            </c:numRef>
          </c:val>
        </c:ser>
        <c:dLbls>
          <c:showLegendKey val="0"/>
          <c:showVal val="0"/>
          <c:showCatName val="0"/>
          <c:showSerName val="0"/>
          <c:showPercent val="0"/>
          <c:showBubbleSize val="0"/>
        </c:dLbls>
        <c:gapWidth val="182"/>
        <c:axId val="141375192"/>
        <c:axId val="141375584"/>
      </c:barChart>
      <c:catAx>
        <c:axId val="141375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5584"/>
        <c:crosses val="autoZero"/>
        <c:auto val="1"/>
        <c:lblAlgn val="ctr"/>
        <c:lblOffset val="100"/>
        <c:noMultiLvlLbl val="0"/>
      </c:catAx>
      <c:valAx>
        <c:axId val="141375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5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[Boutique Dashboard project.xlsx]DashboardData!PivotTable1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tifakt Element Black" panose="020B0A03050000020004" pitchFamily="34" charset="0"/>
                <a:ea typeface="Artifakt Element Black" panose="020B0A03050000020004" pitchFamily="34" charset="0"/>
              </a:rPr>
              <a:t>Top</a:t>
            </a:r>
            <a:r>
              <a:rPr lang="en-US" sz="1200" b="1" baseline="0">
                <a:latin typeface="Artifakt Element Black" panose="020B0A03050000020004" pitchFamily="34" charset="0"/>
                <a:ea typeface="Artifakt Element Black" panose="020B0A03050000020004" pitchFamily="34" charset="0"/>
              </a:rPr>
              <a:t> location by revenue</a:t>
            </a:r>
            <a:endParaRPr lang="en-US" sz="1200" b="1">
              <a:latin typeface="Artifakt Element Black" panose="020B0A03050000020004" pitchFamily="34" charset="0"/>
              <a:ea typeface="Artifakt Element Black" panose="020B0A03050000020004" pitchFamily="34" charset="0"/>
            </a:endParaRPr>
          </a:p>
        </c:rich>
      </c:tx>
      <c:layout>
        <c:manualLayout>
          <c:xMode val="edge"/>
          <c:yMode val="edge"/>
          <c:x val="0.2320698545435741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pivotFmt>
    </c:pivotFmts>
    <c:plotArea>
      <c:layout/>
      <c:barChart>
        <c:barDir val="bar"/>
        <c:grouping val="clustered"/>
        <c:varyColors val="0"/>
        <c:ser>
          <c:idx val="0"/>
          <c:order val="0"/>
          <c:tx>
            <c:strRef>
              <c:f>DashboardData!$I$20</c:f>
              <c:strCache>
                <c:ptCount val="1"/>
                <c:pt idx="0">
                  <c:v>Total</c:v>
                </c:pt>
              </c:strCache>
            </c:strRef>
          </c:tx>
          <c:spPr>
            <a:solidFill>
              <a:schemeClr val="accent4"/>
            </a:solidFill>
            <a:ln>
              <a:noFill/>
            </a:ln>
            <a:effectLst/>
          </c:spPr>
          <c:invertIfNegative val="0"/>
          <c:dLbls>
            <c:delete val="1"/>
          </c:dLbls>
          <c:cat>
            <c:strRef>
              <c:f>DashboardData!$H$21:$H$23</c:f>
              <c:strCache>
                <c:ptCount val="2"/>
                <c:pt idx="0">
                  <c:v>No Code</c:v>
                </c:pt>
                <c:pt idx="1">
                  <c:v>Used Code</c:v>
                </c:pt>
              </c:strCache>
            </c:strRef>
          </c:cat>
          <c:val>
            <c:numRef>
              <c:f>DashboardData!$I$21:$I$23</c:f>
              <c:numCache>
                <c:formatCode>General</c:formatCode>
                <c:ptCount val="2"/>
                <c:pt idx="0">
                  <c:v>3</c:v>
                </c:pt>
                <c:pt idx="1">
                  <c:v>3</c:v>
                </c:pt>
              </c:numCache>
            </c:numRef>
          </c:val>
        </c:ser>
        <c:dLbls>
          <c:dLblPos val="outEnd"/>
          <c:showLegendKey val="0"/>
          <c:showVal val="1"/>
          <c:showCatName val="0"/>
          <c:showSerName val="0"/>
          <c:showPercent val="0"/>
          <c:showBubbleSize val="0"/>
        </c:dLbls>
        <c:gapWidth val="182"/>
        <c:axId val="141376368"/>
        <c:axId val="296750168"/>
      </c:barChart>
      <c:catAx>
        <c:axId val="14137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50168"/>
        <c:crosses val="autoZero"/>
        <c:auto val="1"/>
        <c:lblAlgn val="ctr"/>
        <c:lblOffset val="100"/>
        <c:noMultiLvlLbl val="0"/>
      </c:catAx>
      <c:valAx>
        <c:axId val="296750168"/>
        <c:scaling>
          <c:orientation val="minMax"/>
        </c:scaling>
        <c:delete val="1"/>
        <c:axPos val="b"/>
        <c:numFmt formatCode="General" sourceLinked="1"/>
        <c:majorTickMark val="none"/>
        <c:minorTickMark val="none"/>
        <c:tickLblPos val="nextTo"/>
        <c:crossAx val="141376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[Boutique Dashboard project.xlsx]DashboardData!PivotTable20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tifakt Element Black" panose="020B0A03050000020004" pitchFamily="34" charset="0"/>
                <a:ea typeface="Artifakt Element Black" panose="020B0A03050000020004" pitchFamily="34" charset="0"/>
              </a:rPr>
              <a:t>Preferred</a:t>
            </a:r>
            <a:r>
              <a:rPr lang="en-US" sz="1200" b="1" baseline="0">
                <a:latin typeface="Artifakt Element Black" panose="020B0A03050000020004" pitchFamily="34" charset="0"/>
                <a:ea typeface="Artifakt Element Black" panose="020B0A03050000020004" pitchFamily="34" charset="0"/>
              </a:rPr>
              <a:t> payment methods</a:t>
            </a:r>
            <a:endParaRPr lang="en-US" sz="1200" b="1">
              <a:latin typeface="Artifakt Element Black" panose="020B0A03050000020004" pitchFamily="34" charset="0"/>
              <a:ea typeface="Artifakt Element Black" panose="020B0A030500000200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DashboardData!$C$16</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DashboardData!$B$17:$B$20</c:f>
              <c:strCache>
                <c:ptCount val="3"/>
                <c:pt idx="0">
                  <c:v>Bank Transfer</c:v>
                </c:pt>
                <c:pt idx="1">
                  <c:v>Debit Card</c:v>
                </c:pt>
                <c:pt idx="2">
                  <c:v>PayPal</c:v>
                </c:pt>
              </c:strCache>
            </c:strRef>
          </c:cat>
          <c:val>
            <c:numRef>
              <c:f>DashboardData!$C$17:$C$20</c:f>
              <c:numCache>
                <c:formatCode>General</c:formatCode>
                <c:ptCount val="3"/>
                <c:pt idx="0">
                  <c:v>4</c:v>
                </c:pt>
                <c:pt idx="1">
                  <c:v>1</c:v>
                </c:pt>
                <c:pt idx="2">
                  <c:v>1</c:v>
                </c:pt>
              </c:numCache>
            </c:numRef>
          </c:val>
        </c:ser>
        <c:dLbls>
          <c:dLblPos val="outEnd"/>
          <c:showLegendKey val="0"/>
          <c:showVal val="1"/>
          <c:showCatName val="0"/>
          <c:showSerName val="0"/>
          <c:showPercent val="0"/>
          <c:showBubbleSize val="0"/>
        </c:dLbls>
        <c:gapWidth val="219"/>
        <c:overlap val="-27"/>
        <c:axId val="296756048"/>
        <c:axId val="296751344"/>
      </c:barChart>
      <c:catAx>
        <c:axId val="29675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51344"/>
        <c:crosses val="autoZero"/>
        <c:auto val="1"/>
        <c:lblAlgn val="ctr"/>
        <c:lblOffset val="100"/>
        <c:noMultiLvlLbl val="0"/>
      </c:catAx>
      <c:valAx>
        <c:axId val="296751344"/>
        <c:scaling>
          <c:orientation val="minMax"/>
        </c:scaling>
        <c:delete val="1"/>
        <c:axPos val="l"/>
        <c:numFmt formatCode="General" sourceLinked="1"/>
        <c:majorTickMark val="none"/>
        <c:minorTickMark val="none"/>
        <c:tickLblPos val="nextTo"/>
        <c:crossAx val="296756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[Boutique Dashboard project.xlsx]DashboardData!PivotTable21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tifakt Element Black" panose="020B0A03050000020004" pitchFamily="34" charset="0"/>
                <a:ea typeface="Artifakt Element Black" panose="020B0A03050000020004" pitchFamily="34" charset="0"/>
              </a:rPr>
              <a:t>Repeat</a:t>
            </a:r>
            <a:r>
              <a:rPr lang="en-US" sz="1200" b="1" baseline="0">
                <a:latin typeface="Artifakt Element Black" panose="020B0A03050000020004" pitchFamily="34" charset="0"/>
                <a:ea typeface="Artifakt Element Black" panose="020B0A03050000020004" pitchFamily="34" charset="0"/>
              </a:rPr>
              <a:t> vs one-time customers</a:t>
            </a:r>
            <a:endParaRPr lang="en-US" sz="1200" b="1">
              <a:latin typeface="Artifakt Element Black" panose="020B0A03050000020004" pitchFamily="34" charset="0"/>
              <a:ea typeface="Artifakt Element Black" panose="020B0A03050000020004" pitchFamily="34" charset="0"/>
            </a:endParaRPr>
          </a:p>
        </c:rich>
      </c:tx>
      <c:layout>
        <c:manualLayout>
          <c:xMode val="edge"/>
          <c:yMode val="edge"/>
          <c:x val="0.1814087740271809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DashboardData!$K$18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DashboardData!$J$19:$J$21</c:f>
              <c:strCache>
                <c:ptCount val="2"/>
                <c:pt idx="0">
                  <c:v>One-Time Customer</c:v>
                </c:pt>
                <c:pt idx="1">
                  <c:v>Repeat Customer</c:v>
                </c:pt>
              </c:strCache>
            </c:strRef>
          </c:cat>
          <c:val>
            <c:numRef>
              <c:f>DashboardData!$K$19:$K$21</c:f>
              <c:numCache>
                <c:formatCode>General</c:formatCode>
                <c:ptCount val="2"/>
                <c:pt idx="0">
                  <c:v>3</c:v>
                </c:pt>
                <c:pt idx="1">
                  <c:v>1</c:v>
                </c:pt>
              </c:numCache>
            </c:numRef>
          </c:val>
        </c:ser>
        <c:dLbls>
          <c:dLblPos val="outEnd"/>
          <c:showLegendKey val="0"/>
          <c:showVal val="1"/>
          <c:showCatName val="0"/>
          <c:showSerName val="0"/>
          <c:showPercent val="0"/>
          <c:showBubbleSize val="0"/>
        </c:dLbls>
        <c:gapWidth val="219"/>
        <c:overlap val="-27"/>
        <c:axId val="296748992"/>
        <c:axId val="296754088"/>
      </c:barChart>
      <c:catAx>
        <c:axId val="29674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54088"/>
        <c:crosses val="autoZero"/>
        <c:auto val="1"/>
        <c:lblAlgn val="ctr"/>
        <c:lblOffset val="100"/>
        <c:noMultiLvlLbl val="0"/>
      </c:catAx>
      <c:valAx>
        <c:axId val="296754088"/>
        <c:scaling>
          <c:orientation val="minMax"/>
        </c:scaling>
        <c:delete val="1"/>
        <c:axPos val="l"/>
        <c:numFmt formatCode="General" sourceLinked="1"/>
        <c:majorTickMark val="none"/>
        <c:minorTickMark val="none"/>
        <c:tickLblPos val="nextTo"/>
        <c:crossAx val="296748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[Boutique Dashboard project.xlsx]DashboardData!PivotTable1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tifakt Element Black" panose="020B0A03050000020004" pitchFamily="34" charset="0"/>
                <a:ea typeface="Artifakt Element Black" panose="020B0A03050000020004" pitchFamily="34" charset="0"/>
              </a:rPr>
              <a:t>Promo</a:t>
            </a:r>
            <a:r>
              <a:rPr lang="en-US" sz="1200" b="1" baseline="0">
                <a:latin typeface="Artifakt Element Black" panose="020B0A03050000020004" pitchFamily="34" charset="0"/>
                <a:ea typeface="Artifakt Element Black" panose="020B0A03050000020004" pitchFamily="34" charset="0"/>
              </a:rPr>
              <a:t> code usage</a:t>
            </a:r>
            <a:endParaRPr lang="en-US" sz="1200" b="1">
              <a:latin typeface="Artifakt Element Black" panose="020B0A03050000020004" pitchFamily="34" charset="0"/>
              <a:ea typeface="Artifakt Element Black" panose="020B0A030500000200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doughnutChart>
        <c:varyColors val="1"/>
        <c:ser>
          <c:idx val="0"/>
          <c:order val="0"/>
          <c:tx>
            <c:strRef>
              <c:f>DashboardData!$I$20</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cat>
            <c:strRef>
              <c:f>DashboardData!$H$21:$H$23</c:f>
              <c:strCache>
                <c:ptCount val="2"/>
                <c:pt idx="0">
                  <c:v>No Code</c:v>
                </c:pt>
                <c:pt idx="1">
                  <c:v>Used Code</c:v>
                </c:pt>
              </c:strCache>
            </c:strRef>
          </c:cat>
          <c:val>
            <c:numRef>
              <c:f>DashboardData!$I$21:$I$23</c:f>
              <c:numCache>
                <c:formatCode>General</c:formatCode>
                <c:ptCount val="2"/>
                <c:pt idx="0">
                  <c:v>3</c:v>
                </c:pt>
                <c:pt idx="1">
                  <c:v>3</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103095</xdr:colOff>
      <xdr:row>1</xdr:row>
      <xdr:rowOff>5604</xdr:rowOff>
    </xdr:from>
    <xdr:to>
      <xdr:col>5</xdr:col>
      <xdr:colOff>235324</xdr:colOff>
      <xdr:row>4</xdr:row>
      <xdr:rowOff>119904</xdr:rowOff>
    </xdr:to>
    <xdr:sp macro="" textlink="">
      <xdr:nvSpPr>
        <xdr:cNvPr id="2" name="Rounded Rectangle 1"/>
        <xdr:cNvSpPr/>
      </xdr:nvSpPr>
      <xdr:spPr>
        <a:xfrm>
          <a:off x="103095" y="196104"/>
          <a:ext cx="3157817" cy="6858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cap="none" spc="0">
              <a:ln w="0">
                <a:solidFill>
                  <a:schemeClr val="tx1">
                    <a:lumMod val="85000"/>
                    <a:lumOff val="15000"/>
                  </a:schemeClr>
                </a:solidFill>
              </a:ln>
              <a:solidFill>
                <a:schemeClr val="tx1"/>
              </a:solidFill>
              <a:effectLst>
                <a:outerShdw blurRad="38100" dist="19050" dir="2700000" algn="tl" rotWithShape="0">
                  <a:schemeClr val="dk1">
                    <a:alpha val="40000"/>
                  </a:schemeClr>
                </a:outerShdw>
              </a:effectLst>
              <a:latin typeface="+mn-lt"/>
              <a:cs typeface="Arial" panose="020B0604020202020204" pitchFamily="34" charset="0"/>
            </a:rPr>
            <a:t>Boutique</a:t>
          </a:r>
          <a:r>
            <a:rPr lang="en-US" sz="1400" b="0" cap="none" spc="0" baseline="0">
              <a:ln w="0">
                <a:solidFill>
                  <a:schemeClr val="tx1">
                    <a:lumMod val="85000"/>
                    <a:lumOff val="15000"/>
                  </a:schemeClr>
                </a:solidFill>
              </a:ln>
              <a:solidFill>
                <a:schemeClr val="tx1"/>
              </a:solidFill>
              <a:effectLst>
                <a:outerShdw blurRad="38100" dist="19050" dir="2700000" algn="tl" rotWithShape="0">
                  <a:schemeClr val="dk1">
                    <a:alpha val="40000"/>
                  </a:schemeClr>
                </a:outerShdw>
              </a:effectLst>
              <a:latin typeface="+mn-lt"/>
              <a:cs typeface="Arial" panose="020B0604020202020204" pitchFamily="34" charset="0"/>
            </a:rPr>
            <a:t> Customer</a:t>
          </a:r>
        </a:p>
        <a:p>
          <a:pPr algn="l"/>
          <a:r>
            <a:rPr lang="en-US" sz="1400" b="0" cap="none" spc="0" baseline="0">
              <a:ln w="0">
                <a:solidFill>
                  <a:schemeClr val="tx1">
                    <a:lumMod val="85000"/>
                    <a:lumOff val="15000"/>
                  </a:schemeClr>
                </a:solidFill>
              </a:ln>
              <a:solidFill>
                <a:schemeClr val="tx1"/>
              </a:solidFill>
              <a:effectLst>
                <a:outerShdw blurRad="38100" dist="19050" dir="2700000" algn="tl" rotWithShape="0">
                  <a:schemeClr val="dk1">
                    <a:alpha val="40000"/>
                  </a:schemeClr>
                </a:outerShdw>
              </a:effectLst>
              <a:latin typeface="+mn-lt"/>
              <a:cs typeface="Arial" panose="020B0604020202020204" pitchFamily="34" charset="0"/>
            </a:rPr>
            <a:t>Shopping Dashboard</a:t>
          </a:r>
          <a:endParaRPr lang="en-US" sz="1400" b="0" cap="none" spc="0">
            <a:ln w="0">
              <a:solidFill>
                <a:schemeClr val="tx1">
                  <a:lumMod val="85000"/>
                  <a:lumOff val="15000"/>
                </a:schemeClr>
              </a:solidFill>
            </a:ln>
            <a:solidFill>
              <a:schemeClr val="tx1"/>
            </a:solidFill>
            <a:effectLst>
              <a:outerShdw blurRad="38100" dist="19050" dir="2700000" algn="tl" rotWithShape="0">
                <a:schemeClr val="dk1">
                  <a:alpha val="40000"/>
                </a:schemeClr>
              </a:outerShdw>
            </a:effectLst>
            <a:latin typeface="+mn-lt"/>
            <a:cs typeface="Arial" panose="020B0604020202020204" pitchFamily="34" charset="0"/>
          </a:endParaRPr>
        </a:p>
      </xdr:txBody>
    </xdr:sp>
    <xdr:clientData/>
  </xdr:twoCellAnchor>
  <xdr:oneCellAnchor>
    <xdr:from>
      <xdr:col>5</xdr:col>
      <xdr:colOff>581025</xdr:colOff>
      <xdr:row>2</xdr:row>
      <xdr:rowOff>180975</xdr:rowOff>
    </xdr:from>
    <xdr:ext cx="184731" cy="264560"/>
    <xdr:sp macro="" textlink="">
      <xdr:nvSpPr>
        <xdr:cNvPr id="3" name="TextBox 2"/>
        <xdr:cNvSpPr txBox="1"/>
      </xdr:nvSpPr>
      <xdr:spPr>
        <a:xfrm>
          <a:off x="3629025" y="561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123263</xdr:colOff>
      <xdr:row>5</xdr:row>
      <xdr:rowOff>132229</xdr:rowOff>
    </xdr:from>
    <xdr:to>
      <xdr:col>5</xdr:col>
      <xdr:colOff>291352</xdr:colOff>
      <xdr:row>9</xdr:row>
      <xdr:rowOff>46504</xdr:rowOff>
    </xdr:to>
    <xdr:sp macro="" textlink="DashboardData!A3">
      <xdr:nvSpPr>
        <xdr:cNvPr id="5" name="Rounded Rectangle 4"/>
        <xdr:cNvSpPr/>
      </xdr:nvSpPr>
      <xdr:spPr>
        <a:xfrm>
          <a:off x="123263" y="1084729"/>
          <a:ext cx="3193677" cy="6762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B2ECC0A-2D82-490C-A33A-7661FA7A3AFB}" type="TxLink">
            <a:rPr lang="en-US" sz="1600" b="0" i="0" u="none" strike="noStrike">
              <a:ln>
                <a:solidFill>
                  <a:schemeClr val="tx1">
                    <a:lumMod val="95000"/>
                    <a:lumOff val="5000"/>
                  </a:schemeClr>
                </a:solidFill>
              </a:ln>
              <a:solidFill>
                <a:srgbClr val="000000"/>
              </a:solidFill>
              <a:latin typeface="Calibri"/>
              <a:cs typeface="Calibri"/>
            </a:rPr>
            <a:pPr algn="l"/>
            <a:t>$421</a:t>
          </a:fld>
          <a:endParaRPr lang="en-US" sz="1600">
            <a:ln>
              <a:solidFill>
                <a:schemeClr val="tx1">
                  <a:lumMod val="95000"/>
                  <a:lumOff val="5000"/>
                </a:schemeClr>
              </a:solidFill>
            </a:ln>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5</xdr:col>
      <xdr:colOff>377080</xdr:colOff>
      <xdr:row>5</xdr:row>
      <xdr:rowOff>145116</xdr:rowOff>
    </xdr:from>
    <xdr:to>
      <xdr:col>11</xdr:col>
      <xdr:colOff>123266</xdr:colOff>
      <xdr:row>9</xdr:row>
      <xdr:rowOff>59391</xdr:rowOff>
    </xdr:to>
    <xdr:sp macro="" textlink="DashboardData!C3">
      <xdr:nvSpPr>
        <xdr:cNvPr id="7" name="Rounded Rectangle 6"/>
        <xdr:cNvSpPr/>
      </xdr:nvSpPr>
      <xdr:spPr>
        <a:xfrm>
          <a:off x="3402668" y="1097616"/>
          <a:ext cx="3376892" cy="6762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9B5A023-2826-43C8-8344-BB3AA2BCCABA}" type="TxLink">
            <a:rPr lang="en-US" sz="1600" b="0" i="0" u="none" strike="noStrike">
              <a:ln>
                <a:solidFill>
                  <a:schemeClr val="tx1">
                    <a:lumMod val="95000"/>
                    <a:lumOff val="5000"/>
                  </a:schemeClr>
                </a:solidFill>
              </a:ln>
              <a:solidFill>
                <a:srgbClr val="000000"/>
              </a:solidFill>
              <a:latin typeface="Calibri"/>
              <a:cs typeface="Calibri"/>
            </a:rPr>
            <a:pPr algn="l"/>
            <a:t>$70.17</a:t>
          </a:fld>
          <a:endParaRPr lang="en-US" sz="1600">
            <a:ln>
              <a:solidFill>
                <a:schemeClr val="tx1">
                  <a:lumMod val="95000"/>
                  <a:lumOff val="5000"/>
                </a:schemeClr>
              </a:solidFill>
            </a:ln>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11</xdr:col>
      <xdr:colOff>178735</xdr:colOff>
      <xdr:row>5</xdr:row>
      <xdr:rowOff>146794</xdr:rowOff>
    </xdr:from>
    <xdr:to>
      <xdr:col>15</xdr:col>
      <xdr:colOff>459441</xdr:colOff>
      <xdr:row>9</xdr:row>
      <xdr:rowOff>61069</xdr:rowOff>
    </xdr:to>
    <xdr:sp macro="" textlink="DashboardData!B2">
      <xdr:nvSpPr>
        <xdr:cNvPr id="8" name="Rounded Rectangle 7"/>
        <xdr:cNvSpPr/>
      </xdr:nvSpPr>
      <xdr:spPr>
        <a:xfrm>
          <a:off x="6835029" y="1099294"/>
          <a:ext cx="2701177" cy="6762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8FB5BE8-06C2-4DF9-B6DC-8FF41E5B2628}" type="TxLink">
            <a:rPr lang="en-US" sz="1600" b="0" i="0" u="none" strike="noStrike">
              <a:ln>
                <a:solidFill>
                  <a:schemeClr val="tx1">
                    <a:lumMod val="95000"/>
                    <a:lumOff val="5000"/>
                  </a:schemeClr>
                </a:solidFill>
              </a:ln>
              <a:solidFill>
                <a:srgbClr val="000000"/>
              </a:solidFill>
              <a:latin typeface="Calibri"/>
              <a:cs typeface="Calibri"/>
            </a:rPr>
            <a:pPr algn="l"/>
            <a:t>4</a:t>
          </a:fld>
          <a:endParaRPr lang="en-US" sz="1600">
            <a:ln>
              <a:solidFill>
                <a:schemeClr val="tx1">
                  <a:lumMod val="95000"/>
                  <a:lumOff val="5000"/>
                </a:schemeClr>
              </a:solidFill>
            </a:ln>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15</xdr:col>
      <xdr:colOff>515471</xdr:colOff>
      <xdr:row>5</xdr:row>
      <xdr:rowOff>137270</xdr:rowOff>
    </xdr:from>
    <xdr:to>
      <xdr:col>20</xdr:col>
      <xdr:colOff>381001</xdr:colOff>
      <xdr:row>9</xdr:row>
      <xdr:rowOff>51545</xdr:rowOff>
    </xdr:to>
    <xdr:sp macro="" textlink="DashboardData!K15">
      <xdr:nvSpPr>
        <xdr:cNvPr id="9" name="Rounded Rectangle 8"/>
        <xdr:cNvSpPr/>
      </xdr:nvSpPr>
      <xdr:spPr>
        <a:xfrm>
          <a:off x="9592236" y="1089770"/>
          <a:ext cx="2891118" cy="6762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1365B05-6790-4582-AC4A-132BF5ED65C3}" type="TxLink">
            <a:rPr lang="en-US" sz="1600" b="0" i="0" u="none" strike="noStrike">
              <a:ln>
                <a:solidFill>
                  <a:schemeClr val="tx1">
                    <a:lumMod val="95000"/>
                    <a:lumOff val="5000"/>
                  </a:schemeClr>
                </a:solidFill>
              </a:ln>
              <a:solidFill>
                <a:srgbClr val="000000"/>
              </a:solidFill>
              <a:latin typeface="Calibri"/>
              <a:cs typeface="Calibri"/>
            </a:rPr>
            <a:pPr algn="l"/>
            <a:t>50%</a:t>
          </a:fld>
          <a:endParaRPr lang="en-US" sz="1600">
            <a:ln>
              <a:solidFill>
                <a:schemeClr val="tx1">
                  <a:lumMod val="95000"/>
                  <a:lumOff val="5000"/>
                </a:schemeClr>
              </a:solidFill>
            </a:ln>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editAs="oneCell">
    <xdr:from>
      <xdr:col>5</xdr:col>
      <xdr:colOff>339538</xdr:colOff>
      <xdr:row>0</xdr:row>
      <xdr:rowOff>52668</xdr:rowOff>
    </xdr:from>
    <xdr:to>
      <xdr:col>8</xdr:col>
      <xdr:colOff>339538</xdr:colOff>
      <xdr:row>5</xdr:row>
      <xdr:rowOff>43143</xdr:rowOff>
    </xdr:to>
    <mc:AlternateContent xmlns:mc="http://schemas.openxmlformats.org/markup-compatibility/2006" xmlns:a14="http://schemas.microsoft.com/office/drawing/2010/main">
      <mc:Choice Requires="a14">
        <xdr:graphicFrame macro="">
          <xdr:nvGraphicFramePr>
            <xdr:cNvPr id="1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12119" y="52668"/>
              <a:ext cx="1843548" cy="912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434788</xdr:colOff>
      <xdr:row>0</xdr:row>
      <xdr:rowOff>50987</xdr:rowOff>
    </xdr:from>
    <xdr:to>
      <xdr:col>11</xdr:col>
      <xdr:colOff>434788</xdr:colOff>
      <xdr:row>5</xdr:row>
      <xdr:rowOff>31937</xdr:rowOff>
    </xdr:to>
    <mc:AlternateContent xmlns:mc="http://schemas.openxmlformats.org/markup-compatibility/2006" xmlns:a14="http://schemas.microsoft.com/office/drawing/2010/main">
      <mc:Choice Requires="a14">
        <xdr:graphicFrame macro="">
          <xdr:nvGraphicFramePr>
            <xdr:cNvPr id="11" name="Season"/>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350917" y="50987"/>
              <a:ext cx="1843548" cy="902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503144</xdr:colOff>
      <xdr:row>0</xdr:row>
      <xdr:rowOff>58831</xdr:rowOff>
    </xdr:from>
    <xdr:to>
      <xdr:col>17</xdr:col>
      <xdr:colOff>2801</xdr:colOff>
      <xdr:row>5</xdr:row>
      <xdr:rowOff>30256</xdr:rowOff>
    </xdr:to>
    <mc:AlternateContent xmlns:mc="http://schemas.openxmlformats.org/markup-compatibility/2006" xmlns:a14="http://schemas.microsoft.com/office/drawing/2010/main">
      <mc:Choice Requires="a14">
        <xdr:graphicFrame macro="">
          <xdr:nvGraphicFramePr>
            <xdr:cNvPr id="12"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262821" y="58831"/>
              <a:ext cx="3186754" cy="893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80681</xdr:colOff>
      <xdr:row>0</xdr:row>
      <xdr:rowOff>67235</xdr:rowOff>
    </xdr:from>
    <xdr:to>
      <xdr:col>20</xdr:col>
      <xdr:colOff>347382</xdr:colOff>
      <xdr:row>5</xdr:row>
      <xdr:rowOff>33617</xdr:rowOff>
    </xdr:to>
    <mc:AlternateContent xmlns:mc="http://schemas.openxmlformats.org/markup-compatibility/2006" xmlns:a14="http://schemas.microsoft.com/office/drawing/2010/main">
      <mc:Choice Requires="a14">
        <xdr:graphicFrame macro="">
          <xdr:nvGraphicFramePr>
            <xdr:cNvPr id="1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27455" y="67235"/>
              <a:ext cx="2110250" cy="888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157443</xdr:colOff>
      <xdr:row>7</xdr:row>
      <xdr:rowOff>51547</xdr:rowOff>
    </xdr:from>
    <xdr:ext cx="1034257" cy="271869"/>
    <xdr:sp macro="" textlink="">
      <xdr:nvSpPr>
        <xdr:cNvPr id="17" name="TextBox 16"/>
        <xdr:cNvSpPr txBox="1"/>
      </xdr:nvSpPr>
      <xdr:spPr>
        <a:xfrm>
          <a:off x="157443" y="1385047"/>
          <a:ext cx="1034257" cy="2718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1">
              <a:latin typeface="Artifakt Element Black" panose="020B0A03050000020004" pitchFamily="34" charset="0"/>
              <a:ea typeface="Artifakt Element Black" panose="020B0A03050000020004" pitchFamily="34" charset="0"/>
            </a:rPr>
            <a:t>Total</a:t>
          </a:r>
          <a:r>
            <a:rPr lang="en-US" sz="1000" b="1" baseline="0">
              <a:latin typeface="Artifakt Element Black" panose="020B0A03050000020004" pitchFamily="34" charset="0"/>
              <a:ea typeface="Artifakt Element Black" panose="020B0A03050000020004" pitchFamily="34" charset="0"/>
            </a:rPr>
            <a:t> revenue</a:t>
          </a:r>
          <a:endParaRPr lang="en-US" sz="1000" b="1">
            <a:latin typeface="Artifakt Element Black" panose="020B0A03050000020004" pitchFamily="34" charset="0"/>
            <a:ea typeface="Artifakt Element Black" panose="020B0A03050000020004" pitchFamily="34" charset="0"/>
          </a:endParaRPr>
        </a:p>
      </xdr:txBody>
    </xdr:sp>
    <xdr:clientData/>
  </xdr:oneCellAnchor>
  <xdr:oneCellAnchor>
    <xdr:from>
      <xdr:col>11</xdr:col>
      <xdr:colOff>203947</xdr:colOff>
      <xdr:row>7</xdr:row>
      <xdr:rowOff>93009</xdr:rowOff>
    </xdr:from>
    <xdr:ext cx="1123513" cy="264560"/>
    <xdr:sp macro="" textlink="">
      <xdr:nvSpPr>
        <xdr:cNvPr id="21" name="TextBox 20"/>
        <xdr:cNvSpPr txBox="1"/>
      </xdr:nvSpPr>
      <xdr:spPr>
        <a:xfrm>
          <a:off x="6860241" y="1426509"/>
          <a:ext cx="11235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Total</a:t>
          </a:r>
          <a:r>
            <a:rPr lang="en-US" sz="1100" b="1" baseline="0"/>
            <a:t> customers</a:t>
          </a:r>
          <a:endParaRPr lang="en-US" sz="1100" b="1"/>
        </a:p>
      </xdr:txBody>
    </xdr:sp>
    <xdr:clientData/>
  </xdr:oneCellAnchor>
  <xdr:oneCellAnchor>
    <xdr:from>
      <xdr:col>5</xdr:col>
      <xdr:colOff>428065</xdr:colOff>
      <xdr:row>7</xdr:row>
      <xdr:rowOff>70598</xdr:rowOff>
    </xdr:from>
    <xdr:ext cx="1108188" cy="264560"/>
    <xdr:sp macro="" textlink="">
      <xdr:nvSpPr>
        <xdr:cNvPr id="6" name="TextBox 5"/>
        <xdr:cNvSpPr txBox="1"/>
      </xdr:nvSpPr>
      <xdr:spPr>
        <a:xfrm>
          <a:off x="3453653" y="1404098"/>
          <a:ext cx="11081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95000"/>
                  <a:lumOff val="5000"/>
                </a:schemeClr>
              </a:solidFill>
            </a:rPr>
            <a:t>Avg order value</a:t>
          </a:r>
        </a:p>
      </xdr:txBody>
    </xdr:sp>
    <xdr:clientData/>
  </xdr:oneCellAnchor>
  <xdr:oneCellAnchor>
    <xdr:from>
      <xdr:col>15</xdr:col>
      <xdr:colOff>533400</xdr:colOff>
      <xdr:row>7</xdr:row>
      <xdr:rowOff>85164</xdr:rowOff>
    </xdr:from>
    <xdr:ext cx="1592744" cy="264560"/>
    <xdr:sp macro="" textlink="">
      <xdr:nvSpPr>
        <xdr:cNvPr id="14" name="TextBox 13"/>
        <xdr:cNvSpPr txBox="1"/>
      </xdr:nvSpPr>
      <xdr:spPr>
        <a:xfrm>
          <a:off x="9610165" y="1418664"/>
          <a:ext cx="15927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lumMod val="95000"/>
                  <a:lumOff val="5000"/>
                </a:schemeClr>
              </a:solidFill>
            </a:rPr>
            <a:t>Total promo</a:t>
          </a:r>
          <a:r>
            <a:rPr lang="en-US" sz="1100" b="1" baseline="0">
              <a:solidFill>
                <a:schemeClr val="tx1">
                  <a:lumMod val="95000"/>
                  <a:lumOff val="5000"/>
                </a:schemeClr>
              </a:solidFill>
            </a:rPr>
            <a:t> code usage</a:t>
          </a:r>
          <a:endParaRPr lang="en-US" sz="1100" b="1">
            <a:solidFill>
              <a:schemeClr val="tx1">
                <a:lumMod val="95000"/>
                <a:lumOff val="5000"/>
              </a:schemeClr>
            </a:solidFill>
          </a:endParaRPr>
        </a:p>
      </xdr:txBody>
    </xdr:sp>
    <xdr:clientData/>
  </xdr:oneCellAnchor>
  <xdr:twoCellAnchor>
    <xdr:from>
      <xdr:col>5</xdr:col>
      <xdr:colOff>389406</xdr:colOff>
      <xdr:row>9</xdr:row>
      <xdr:rowOff>184338</xdr:rowOff>
    </xdr:from>
    <xdr:to>
      <xdr:col>11</xdr:col>
      <xdr:colOff>123264</xdr:colOff>
      <xdr:row>22</xdr:row>
      <xdr:rowOff>108138</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112059</xdr:colOff>
      <xdr:row>9</xdr:row>
      <xdr:rowOff>168091</xdr:rowOff>
    </xdr:from>
    <xdr:to>
      <xdr:col>5</xdr:col>
      <xdr:colOff>280147</xdr:colOff>
      <xdr:row>22</xdr:row>
      <xdr:rowOff>100855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246530</xdr:colOff>
      <xdr:row>9</xdr:row>
      <xdr:rowOff>168089</xdr:rowOff>
    </xdr:from>
    <xdr:to>
      <xdr:col>15</xdr:col>
      <xdr:colOff>448234</xdr:colOff>
      <xdr:row>22</xdr:row>
      <xdr:rowOff>89649</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560292</xdr:colOff>
      <xdr:row>9</xdr:row>
      <xdr:rowOff>156882</xdr:rowOff>
    </xdr:from>
    <xdr:to>
      <xdr:col>20</xdr:col>
      <xdr:colOff>425823</xdr:colOff>
      <xdr:row>22</xdr:row>
      <xdr:rowOff>89647</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369794</xdr:colOff>
      <xdr:row>23</xdr:row>
      <xdr:rowOff>33619</xdr:rowOff>
    </xdr:from>
    <xdr:to>
      <xdr:col>11</xdr:col>
      <xdr:colOff>123263</xdr:colOff>
      <xdr:row>37</xdr:row>
      <xdr:rowOff>109819</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571500</xdr:colOff>
      <xdr:row>23</xdr:row>
      <xdr:rowOff>33618</xdr:rowOff>
    </xdr:from>
    <xdr:to>
      <xdr:col>20</xdr:col>
      <xdr:colOff>437030</xdr:colOff>
      <xdr:row>37</xdr:row>
      <xdr:rowOff>112059</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257735</xdr:colOff>
      <xdr:row>23</xdr:row>
      <xdr:rowOff>22410</xdr:rowOff>
    </xdr:from>
    <xdr:to>
      <xdr:col>15</xdr:col>
      <xdr:colOff>437028</xdr:colOff>
      <xdr:row>37</xdr:row>
      <xdr:rowOff>98610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100853</xdr:colOff>
      <xdr:row>23</xdr:row>
      <xdr:rowOff>56029</xdr:rowOff>
    </xdr:from>
    <xdr:to>
      <xdr:col>5</xdr:col>
      <xdr:colOff>291353</xdr:colOff>
      <xdr:row>37</xdr:row>
      <xdr:rowOff>112058</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pc" refreshedDate="46278.902923263886" backgroundQuery="1" createdVersion="5" refreshedVersion="5" minRefreshableVersion="3" recordCount="0" supportSubquery="1" supportAdvancedDrill="1">
  <cacheSource type="external" connectionId="1"/>
  <cacheFields count="5">
    <cacheField name="[Measures].[Sum of Price]" caption="Sum of Price" numFmtId="0" hierarchy="17" level="32767"/>
    <cacheField name="[Measures].[Average of Price]" caption="Average of Price" numFmtId="0" hierarchy="20" level="32767"/>
    <cacheField name="[Measures].[Distinct Count of Customer ID]" caption="Distinct Count of Customer ID" numFmtId="0" hierarchy="19" level="32767"/>
    <cacheField name="[Table2].[Gender].[Gender]" caption="Gender" numFmtId="0" hierarchy="7" level="1">
      <sharedItems containsSemiMixedTypes="0" containsNonDate="0" containsString="0"/>
    </cacheField>
    <cacheField name="[Table2].[Location].[Location]" caption="Location" numFmtId="0" hierarchy="9" level="1">
      <sharedItems containsSemiMixedTypes="0" containsNonDate="0" containsString="0"/>
    </cacheField>
  </cacheFields>
  <cacheHierarchies count="26">
    <cacheHierarchy uniqueName="[Table2].[Order ID]" caption="Order ID" attribute="1" defaultMemberUniqueName="[Table2].[Order ID].[All]" allUniqueName="[Table2].[Order ID].[All]" dimensionUniqueName="[Table2]"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Promo Code]" caption="Promo Code" attribute="1" defaultMemberUniqueName="[Table2].[Promo Code].[All]" allUniqueName="[Table2].[Promo Code].[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3"/>
      </fieldsUsage>
    </cacheHierarchy>
    <cacheHierarchy uniqueName="[Table2].[Age]" caption="Age" attribute="1" defaultMemberUniqueName="[Table2].[Age].[All]" allUniqueName="[Table2].[Age].[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4"/>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Season]" caption="Season" attribute="1" defaultMemberUniqueName="[Table2].[Season].[All]" allUniqueName="[Table2].[Season].[All]" dimensionUniqueName="[Table2]" displayFolder="" count="2"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2].[Repeat Customer]" caption="Repeat Customer" attribute="1" defaultMemberUniqueName="[Table2].[Repeat Customer].[All]" allUniqueName="[Table2].[Repeat Customer].[All]" dimensionUniqueName="[Table2]" displayFolder="" count="0" memberValueDatatype="130" unbalanced="0"/>
    <cacheHierarchy uniqueName="[Table2].[Promo Used]" caption="Promo Used" attribute="1" defaultMemberUniqueName="[Table2].[Promo Used].[All]" allUniqueName="[Table2].[Promo Used].[All]" dimensionUniqueName="[Table2]" displayFolder="" count="0" memberValueDatatype="130" unbalanced="0"/>
    <cacheHierarchy uniqueName="[Measures].[Sum of Price]" caption="Sum of Price" measure="1" displayFolder="" measureGroup="Table2" count="0" oneField="1">
      <fieldsUsage count="1">
        <fieldUsage x="0"/>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2" count="0" oneField="1">
      <fieldsUsage count="1">
        <fieldUsage x="2"/>
      </fieldsUsage>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2" count="0" oneField="1">
      <fieldsUsage count="1">
        <fieldUsage x="1"/>
      </fieldsUsage>
      <extLst>
        <ext xmlns:x15="http://schemas.microsoft.com/office/spreadsheetml/2010/11/main" uri="{B97F6D7D-B522-45F9-BDA1-12C45D357490}">
          <x15:cacheHierarchy aggregatedColumn="12"/>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Count of Promo Code]" caption="Count of Promo Code" measure="1" displayFolder="" measureGroup="Table2" count="0">
      <extLst>
        <ext xmlns:x15="http://schemas.microsoft.com/office/spreadsheetml/2010/11/main" uri="{B97F6D7D-B522-45F9-BDA1-12C45D357490}">
          <x15:cacheHierarchy aggregatedColumn="5"/>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pc" refreshedDate="46278.902924074071" backgroundQuery="1" createdVersion="5" refreshedVersion="5" minRefreshableVersion="3" recordCount="0" supportSubquery="1" supportAdvancedDrill="1">
  <cacheSource type="external" connectionId="1"/>
  <cacheFields count="3">
    <cacheField name="[Table2].[Gender].[Gender]" caption="Gender" numFmtId="0" hierarchy="7" level="1">
      <sharedItems count="2">
        <s v="Male"/>
        <s v="Female" u="1"/>
      </sharedItems>
    </cacheField>
    <cacheField name="[Measures].[Sum of Price]" caption="Sum of Price" numFmtId="0" hierarchy="17" level="32767"/>
    <cacheField name="[Table2].[Location].[Location]" caption="Location" numFmtId="0" hierarchy="9" level="1">
      <sharedItems containsSemiMixedTypes="0" containsNonDate="0" containsString="0"/>
    </cacheField>
  </cacheFields>
  <cacheHierarchies count="26">
    <cacheHierarchy uniqueName="[Table2].[Order ID]" caption="Order ID" attribute="1" defaultMemberUniqueName="[Table2].[Order ID].[All]" allUniqueName="[Table2].[Order ID].[All]" dimensionUniqueName="[Table2]"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Promo Code]" caption="Promo Code" attribute="1" defaultMemberUniqueName="[Table2].[Promo Code].[All]" allUniqueName="[Table2].[Promo Code].[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2].[Age]" caption="Age" attribute="1" defaultMemberUniqueName="[Table2].[Age].[All]" allUniqueName="[Table2].[Age].[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Season]" caption="Season" attribute="1" defaultMemberUniqueName="[Table2].[Season].[All]" allUniqueName="[Table2].[Season].[All]" dimensionUniqueName="[Table2]" displayFolder="" count="2"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2].[Repeat Customer]" caption="Repeat Customer" attribute="1" defaultMemberUniqueName="[Table2].[Repeat Customer].[All]" allUniqueName="[Table2].[Repeat Customer].[All]" dimensionUniqueName="[Table2]" displayFolder="" count="0" memberValueDatatype="130" unbalanced="0"/>
    <cacheHierarchy uniqueName="[Table2].[Promo Used]" caption="Promo Used" attribute="1" defaultMemberUniqueName="[Table2].[Promo Used].[All]" allUniqueName="[Table2].[Promo Used].[All]" dimensionUniqueName="[Table2]" displayFolder="" count="0" memberValueDatatype="130" unbalanced="0"/>
    <cacheHierarchy uniqueName="[Measures].[Sum of Price]" caption="Sum of Price" measure="1" displayFolder="" measureGroup="Table2" count="0" oneField="1">
      <fieldsUsage count="1">
        <fieldUsage x="1"/>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2" count="0">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2" count="0">
      <extLst>
        <ext xmlns:x15="http://schemas.microsoft.com/office/spreadsheetml/2010/11/main" uri="{B97F6D7D-B522-45F9-BDA1-12C45D357490}">
          <x15:cacheHierarchy aggregatedColumn="12"/>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Count of Promo Code]" caption="Count of Promo Code" measure="1" displayFolder="" measureGroup="Table2" count="0">
      <extLst>
        <ext xmlns:x15="http://schemas.microsoft.com/office/spreadsheetml/2010/11/main" uri="{B97F6D7D-B522-45F9-BDA1-12C45D357490}">
          <x15:cacheHierarchy aggregatedColumn="5"/>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pc" refreshedDate="46278.902925115741" backgroundQuery="1" createdVersion="5" refreshedVersion="5" minRefreshableVersion="3" recordCount="0" supportSubquery="1" supportAdvancedDrill="1">
  <cacheSource type="external" connectionId="1"/>
  <cacheFields count="4">
    <cacheField name="[Table2].[Age Group].[Age Group]" caption="Age Group" numFmtId="0" hierarchy="14" level="1">
      <sharedItems count="2">
        <s v="20-40"/>
        <s v="40-60"/>
      </sharedItems>
    </cacheField>
    <cacheField name="[Measures].[Sum of Price]" caption="Sum of Price" numFmtId="0" hierarchy="17" level="32767"/>
    <cacheField name="[Table2].[Gender].[Gender]" caption="Gender" numFmtId="0" hierarchy="7" level="1">
      <sharedItems containsSemiMixedTypes="0" containsNonDate="0" containsString="0"/>
    </cacheField>
    <cacheField name="[Table2].[Location].[Location]" caption="Location" numFmtId="0" hierarchy="9" level="1">
      <sharedItems containsSemiMixedTypes="0" containsNonDate="0" containsString="0"/>
    </cacheField>
  </cacheFields>
  <cacheHierarchies count="26">
    <cacheHierarchy uniqueName="[Table2].[Order ID]" caption="Order ID" attribute="1" defaultMemberUniqueName="[Table2].[Order ID].[All]" allUniqueName="[Table2].[Order ID].[All]" dimensionUniqueName="[Table2]"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Promo Code]" caption="Promo Code" attribute="1" defaultMemberUniqueName="[Table2].[Promo Code].[All]" allUniqueName="[Table2].[Promo Code].[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Age]" caption="Age" attribute="1" defaultMemberUniqueName="[Table2].[Age].[All]" allUniqueName="[Table2].[Age].[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Season]" caption="Season" attribute="1" defaultMemberUniqueName="[Table2].[Season].[All]" allUniqueName="[Table2].[Season].[All]" dimensionUniqueName="[Table2]" displayFolder="" count="2" memberValueDatatype="130" unbalanced="0"/>
    <cacheHierarchy uniqueName="[Table2].[Age Group]" caption="Age Group" attribute="1" defaultMemberUniqueName="[Table2].[Age Group].[All]" allUniqueName="[Table2].[Age Group].[All]" dimensionUniqueName="[Table2]" displayFolder="" count="2" memberValueDatatype="130" unbalanced="0">
      <fieldsUsage count="2">
        <fieldUsage x="-1"/>
        <fieldUsage x="0"/>
      </fieldsUsage>
    </cacheHierarchy>
    <cacheHierarchy uniqueName="[Table2].[Repeat Customer]" caption="Repeat Customer" attribute="1" defaultMemberUniqueName="[Table2].[Repeat Customer].[All]" allUniqueName="[Table2].[Repeat Customer].[All]" dimensionUniqueName="[Table2]" displayFolder="" count="0" memberValueDatatype="130" unbalanced="0"/>
    <cacheHierarchy uniqueName="[Table2].[Promo Used]" caption="Promo Used" attribute="1" defaultMemberUniqueName="[Table2].[Promo Used].[All]" allUniqueName="[Table2].[Promo Used].[All]" dimensionUniqueName="[Table2]" displayFolder="" count="0" memberValueDatatype="130" unbalanced="0"/>
    <cacheHierarchy uniqueName="[Measures].[Sum of Price]" caption="Sum of Price" measure="1" displayFolder="" measureGroup="Table2" count="0" oneField="1">
      <fieldsUsage count="1">
        <fieldUsage x="1"/>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2" count="0">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2" count="0">
      <extLst>
        <ext xmlns:x15="http://schemas.microsoft.com/office/spreadsheetml/2010/11/main" uri="{B97F6D7D-B522-45F9-BDA1-12C45D357490}">
          <x15:cacheHierarchy aggregatedColumn="12"/>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Count of Promo Code]" caption="Count of Promo Code" measure="1" displayFolder="" measureGroup="Table2" count="0">
      <extLst>
        <ext xmlns:x15="http://schemas.microsoft.com/office/spreadsheetml/2010/11/main" uri="{B97F6D7D-B522-45F9-BDA1-12C45D357490}">
          <x15:cacheHierarchy aggregatedColumn="5"/>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pc" refreshedDate="46278.902925694441" backgroundQuery="1" createdVersion="5" refreshedVersion="5" minRefreshableVersion="3" recordCount="0" supportSubquery="1" supportAdvancedDrill="1">
  <cacheSource type="external" connectionId="1"/>
  <cacheFields count="5">
    <cacheField name="[Table2].[Season].[Season]" caption="Season" numFmtId="0" hierarchy="13" level="1">
      <sharedItems count="4">
        <s v="Fall"/>
        <s v="Spring"/>
        <s v="Summer"/>
        <s v="Winter"/>
      </sharedItems>
    </cacheField>
    <cacheField name="[Table2].[Category].[Category]" caption="Category" numFmtId="0" hierarchy="10" level="1">
      <sharedItems count="2">
        <s v="Accessories"/>
        <s v="Clothing"/>
      </sharedItems>
    </cacheField>
    <cacheField name="[Measures].[Sum of Price]" caption="Sum of Price" numFmtId="0" hierarchy="17" level="32767"/>
    <cacheField name="[Table2].[Gender].[Gender]" caption="Gender" numFmtId="0" hierarchy="7" level="1">
      <sharedItems containsSemiMixedTypes="0" containsNonDate="0" containsString="0"/>
    </cacheField>
    <cacheField name="[Table2].[Location].[Location]" caption="Location" numFmtId="0" hierarchy="9" level="1">
      <sharedItems containsSemiMixedTypes="0" containsNonDate="0" containsString="0"/>
    </cacheField>
  </cacheFields>
  <cacheHierarchies count="26">
    <cacheHierarchy uniqueName="[Table2].[Order ID]" caption="Order ID" attribute="1" defaultMemberUniqueName="[Table2].[Order ID].[All]" allUniqueName="[Table2].[Order ID].[All]" dimensionUniqueName="[Table2]"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Promo Code]" caption="Promo Code" attribute="1" defaultMemberUniqueName="[Table2].[Promo Code].[All]" allUniqueName="[Table2].[Promo Code].[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3"/>
      </fieldsUsage>
    </cacheHierarchy>
    <cacheHierarchy uniqueName="[Table2].[Age]" caption="Age" attribute="1" defaultMemberUniqueName="[Table2].[Age].[All]" allUniqueName="[Table2].[Age].[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4"/>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2].[Product Name]" caption="Product Name" attribute="1" defaultMemberUniqueName="[Table2].[Product Name].[All]" allUniqueName="[Table2].[Product Name].[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Season]" caption="Season" attribute="1" defaultMemberUniqueName="[Table2].[Season].[All]" allUniqueName="[Table2].[Season].[All]" dimensionUniqueName="[Table2]" displayFolder="" count="2" memberValueDatatype="130" unbalanced="0">
      <fieldsUsage count="2">
        <fieldUsage x="-1"/>
        <fieldUsage x="0"/>
      </fieldsUsage>
    </cacheHierarchy>
    <cacheHierarchy uniqueName="[Table2].[Age Group]" caption="Age Group" attribute="1" defaultMemberUniqueName="[Table2].[Age Group].[All]" allUniqueName="[Table2].[Age Group].[All]" dimensionUniqueName="[Table2]" displayFolder="" count="0" memberValueDatatype="130" unbalanced="0"/>
    <cacheHierarchy uniqueName="[Table2].[Repeat Customer]" caption="Repeat Customer" attribute="1" defaultMemberUniqueName="[Table2].[Repeat Customer].[All]" allUniqueName="[Table2].[Repeat Customer].[All]" dimensionUniqueName="[Table2]" displayFolder="" count="0" memberValueDatatype="130" unbalanced="0"/>
    <cacheHierarchy uniqueName="[Table2].[Promo Used]" caption="Promo Used" attribute="1" defaultMemberUniqueName="[Table2].[Promo Used].[All]" allUniqueName="[Table2].[Promo Used].[All]" dimensionUniqueName="[Table2]" displayFolder="" count="0" memberValueDatatype="130" unbalanced="0"/>
    <cacheHierarchy uniqueName="[Measures].[Sum of Price]" caption="Sum of Price" measure="1" displayFolder="" measureGroup="Table2" count="0" oneField="1">
      <fieldsUsage count="1">
        <fieldUsage x="2"/>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2" count="0">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2" count="0">
      <extLst>
        <ext xmlns:x15="http://schemas.microsoft.com/office/spreadsheetml/2010/11/main" uri="{B97F6D7D-B522-45F9-BDA1-12C45D357490}">
          <x15:cacheHierarchy aggregatedColumn="12"/>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Count of Promo Code]" caption="Count of Promo Code" measure="1" displayFolder="" measureGroup="Table2" count="0">
      <extLst>
        <ext xmlns:x15="http://schemas.microsoft.com/office/spreadsheetml/2010/11/main" uri="{B97F6D7D-B522-45F9-BDA1-12C45D357490}">
          <x15:cacheHierarchy aggregatedColumn="5"/>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pc" refreshedDate="46278.902926157411" backgroundQuery="1" createdVersion="5" refreshedVersion="5" minRefreshableVersion="3" recordCount="0" supportSubquery="1" supportAdvancedDrill="1">
  <cacheSource type="external" connectionId="1"/>
  <cacheFields count="3">
    <cacheField name="[Table2].[Location].[Location]" caption="Location" numFmtId="0" hierarchy="9" level="1">
      <sharedItems count="1">
        <s v="Ilorin"/>
      </sharedItems>
    </cacheField>
    <cacheField name="[Measures].[Sum of Price]" caption="Sum of Price" numFmtId="0" hierarchy="17" level="32767"/>
    <cacheField name="[Table2].[Gender].[Gender]" caption="Gender" numFmtId="0" hierarchy="7" level="1">
      <sharedItems containsSemiMixedTypes="0" containsNonDate="0" containsString="0"/>
    </cacheField>
  </cacheFields>
  <cacheHierarchies count="26">
    <cacheHierarchy uniqueName="[Table2].[Order ID]" caption="Order ID" attribute="1" defaultMemberUniqueName="[Table2].[Order ID].[All]" allUniqueName="[Table2].[Order ID].[All]" dimensionUniqueName="[Table2]"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Promo Code]" caption="Promo Code" attribute="1" defaultMemberUniqueName="[Table2].[Promo Code].[All]" allUniqueName="[Table2].[Promo Code].[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Age]" caption="Age" attribute="1" defaultMemberUniqueName="[Table2].[Age].[All]" allUniqueName="[Table2].[Age].[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Season]" caption="Season" attribute="1" defaultMemberUniqueName="[Table2].[Season].[All]" allUniqueName="[Table2].[Season].[All]" dimensionUniqueName="[Table2]" displayFolder="" count="2"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2].[Repeat Customer]" caption="Repeat Customer" attribute="1" defaultMemberUniqueName="[Table2].[Repeat Customer].[All]" allUniqueName="[Table2].[Repeat Customer].[All]" dimensionUniqueName="[Table2]" displayFolder="" count="0" memberValueDatatype="130" unbalanced="0"/>
    <cacheHierarchy uniqueName="[Table2].[Promo Used]" caption="Promo Used" attribute="1" defaultMemberUniqueName="[Table2].[Promo Used].[All]" allUniqueName="[Table2].[Promo Used].[All]" dimensionUniqueName="[Table2]" displayFolder="" count="0" memberValueDatatype="130" unbalanced="0"/>
    <cacheHierarchy uniqueName="[Measures].[Sum of Price]" caption="Sum of Price" measure="1" displayFolder="" measureGroup="Table2" count="0" oneField="1">
      <fieldsUsage count="1">
        <fieldUsage x="1"/>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2" count="0">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2" count="0">
      <extLst>
        <ext xmlns:x15="http://schemas.microsoft.com/office/spreadsheetml/2010/11/main" uri="{B97F6D7D-B522-45F9-BDA1-12C45D357490}">
          <x15:cacheHierarchy aggregatedColumn="12"/>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Count of Promo Code]" caption="Count of Promo Code" measure="1" displayFolder="" measureGroup="Table2" count="0">
      <extLst>
        <ext xmlns:x15="http://schemas.microsoft.com/office/spreadsheetml/2010/11/main" uri="{B97F6D7D-B522-45F9-BDA1-12C45D357490}">
          <x15:cacheHierarchy aggregatedColumn="5"/>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pc" refreshedDate="46278.902926736111" backgroundQuery="1" createdVersion="5" refreshedVersion="5" minRefreshableVersion="3" recordCount="0" supportSubquery="1" supportAdvancedDrill="1">
  <cacheSource type="external" connectionId="1"/>
  <cacheFields count="4">
    <cacheField name="[Table2].[Payment Method].[Payment Method]" caption="Payment Method" numFmtId="0" hierarchy="4" level="1">
      <sharedItems count="3">
        <s v="Bank Transfer"/>
        <s v="Debit Card"/>
        <s v="PayPal"/>
      </sharedItems>
    </cacheField>
    <cacheField name="[Measures].[Count of Order ID]" caption="Count of Order ID" numFmtId="0" hierarchy="22" level="32767"/>
    <cacheField name="[Table2].[Gender].[Gender]" caption="Gender" numFmtId="0" hierarchy="7" level="1">
      <sharedItems containsSemiMixedTypes="0" containsNonDate="0" containsString="0"/>
    </cacheField>
    <cacheField name="[Table2].[Location].[Location]" caption="Location" numFmtId="0" hierarchy="9" level="1">
      <sharedItems containsSemiMixedTypes="0" containsNonDate="0" containsString="0"/>
    </cacheField>
  </cacheFields>
  <cacheHierarchies count="26">
    <cacheHierarchy uniqueName="[Table2].[Order ID]" caption="Order ID" attribute="1" defaultMemberUniqueName="[Table2].[Order ID].[All]" allUniqueName="[Table2].[Order ID].[All]" dimensionUniqueName="[Table2]"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Payment Method]" caption="Payment Method" attribute="1" defaultMemberUniqueName="[Table2].[Payment Method].[All]" allUniqueName="[Table2].[Payment Method].[All]" dimensionUniqueName="[Table2]" displayFolder="" count="2" memberValueDatatype="130" unbalanced="0">
      <fieldsUsage count="2">
        <fieldUsage x="-1"/>
        <fieldUsage x="0"/>
      </fieldsUsage>
    </cacheHierarchy>
    <cacheHierarchy uniqueName="[Table2].[Promo Code]" caption="Promo Code" attribute="1" defaultMemberUniqueName="[Table2].[Promo Code].[All]" allUniqueName="[Table2].[Promo Code].[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Age]" caption="Age" attribute="1" defaultMemberUniqueName="[Table2].[Age].[All]" allUniqueName="[Table2].[Age].[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Season]" caption="Season" attribute="1" defaultMemberUniqueName="[Table2].[Season].[All]" allUniqueName="[Table2].[Season].[All]" dimensionUniqueName="[Table2]" displayFolder="" count="2"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2].[Repeat Customer]" caption="Repeat Customer" attribute="1" defaultMemberUniqueName="[Table2].[Repeat Customer].[All]" allUniqueName="[Table2].[Repeat Customer].[All]" dimensionUniqueName="[Table2]" displayFolder="" count="0" memberValueDatatype="130" unbalanced="0"/>
    <cacheHierarchy uniqueName="[Table2].[Promo Used]" caption="Promo Used" attribute="1" defaultMemberUniqueName="[Table2].[Promo Used].[All]" allUniqueName="[Table2].[Promo Used].[All]" dimensionUniqueName="[Table2]" displayFolder="" count="0" memberValueDatatype="130" unbalanced="0"/>
    <cacheHierarchy uniqueName="[Measures].[Sum of Price]" caption="Sum of Price" measure="1" displayFolder="" measureGroup="Table2" count="0">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2" count="0">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2" count="0">
      <extLst>
        <ext xmlns:x15="http://schemas.microsoft.com/office/spreadsheetml/2010/11/main" uri="{B97F6D7D-B522-45F9-BDA1-12C45D357490}">
          <x15:cacheHierarchy aggregatedColumn="12"/>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2" count="0" oneField="1">
      <fieldsUsage count="1">
        <fieldUsage x="1"/>
      </fieldsUsage>
      <extLst>
        <ext xmlns:x15="http://schemas.microsoft.com/office/spreadsheetml/2010/11/main" uri="{B97F6D7D-B522-45F9-BDA1-12C45D357490}">
          <x15:cacheHierarchy aggregatedColumn="0"/>
        </ext>
      </extLst>
    </cacheHierarchy>
    <cacheHierarchy uniqueName="[Measures].[Count of Promo Code]" caption="Count of Promo Code" measure="1" displayFolder="" measureGroup="Table2" count="0">
      <extLst>
        <ext xmlns:x15="http://schemas.microsoft.com/office/spreadsheetml/2010/11/main" uri="{B97F6D7D-B522-45F9-BDA1-12C45D357490}">
          <x15:cacheHierarchy aggregatedColumn="5"/>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pc" refreshedDate="46278.902927083334" backgroundQuery="1" createdVersion="5" refreshedVersion="5" minRefreshableVersion="3" recordCount="0" supportSubquery="1" supportAdvancedDrill="1">
  <cacheSource type="external" connectionId="1"/>
  <cacheFields count="4">
    <cacheField name="[Table2].[Repeat Customer].[Repeat Customer]" caption="Repeat Customer" numFmtId="0" hierarchy="15" level="1">
      <sharedItems count="2">
        <s v="No"/>
        <s v="Yes"/>
      </sharedItems>
    </cacheField>
    <cacheField name="[Measures].[Distinct Count of Customer ID]" caption="Distinct Count of Customer ID" numFmtId="0" hierarchy="19" level="32767"/>
    <cacheField name="[Table2].[Gender].[Gender]" caption="Gender" numFmtId="0" hierarchy="7" level="1">
      <sharedItems containsSemiMixedTypes="0" containsNonDate="0" containsString="0"/>
    </cacheField>
    <cacheField name="[Table2].[Location].[Location]" caption="Location" numFmtId="0" hierarchy="9" level="1">
      <sharedItems containsSemiMixedTypes="0" containsNonDate="0" containsString="0"/>
    </cacheField>
  </cacheFields>
  <cacheHierarchies count="26">
    <cacheHierarchy uniqueName="[Table2].[Order ID]" caption="Order ID" attribute="1" defaultMemberUniqueName="[Table2].[Order ID].[All]" allUniqueName="[Table2].[Order ID].[All]" dimensionUniqueName="[Table2]"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Promo Code]" caption="Promo Code" attribute="1" defaultMemberUniqueName="[Table2].[Promo Code].[All]" allUniqueName="[Table2].[Promo Code].[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Age]" caption="Age" attribute="1" defaultMemberUniqueName="[Table2].[Age].[All]" allUniqueName="[Table2].[Age].[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Season]" caption="Season" attribute="1" defaultMemberUniqueName="[Table2].[Season].[All]" allUniqueName="[Table2].[Season].[All]" dimensionUniqueName="[Table2]" displayFolder="" count="2"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2].[Repeat Customer]" caption="Repeat Customer" attribute="1" defaultMemberUniqueName="[Table2].[Repeat Customer].[All]" allUniqueName="[Table2].[Repeat Customer].[All]" dimensionUniqueName="[Table2]" displayFolder="" count="2" memberValueDatatype="130" unbalanced="0">
      <fieldsUsage count="2">
        <fieldUsage x="-1"/>
        <fieldUsage x="0"/>
      </fieldsUsage>
    </cacheHierarchy>
    <cacheHierarchy uniqueName="[Table2].[Promo Used]" caption="Promo Used" attribute="1" defaultMemberUniqueName="[Table2].[Promo Used].[All]" allUniqueName="[Table2].[Promo Used].[All]" dimensionUniqueName="[Table2]" displayFolder="" count="0" memberValueDatatype="130" unbalanced="0"/>
    <cacheHierarchy uniqueName="[Measures].[Sum of Price]" caption="Sum of Price" measure="1" displayFolder="" measureGroup="Table2" count="0">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2" count="0" oneField="1">
      <fieldsUsage count="1">
        <fieldUsage x="1"/>
      </fieldsUsage>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2" count="0">
      <extLst>
        <ext xmlns:x15="http://schemas.microsoft.com/office/spreadsheetml/2010/11/main" uri="{B97F6D7D-B522-45F9-BDA1-12C45D357490}">
          <x15:cacheHierarchy aggregatedColumn="12"/>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Count of Promo Code]" caption="Count of Promo Code" measure="1" displayFolder="" measureGroup="Table2" count="0">
      <extLst>
        <ext xmlns:x15="http://schemas.microsoft.com/office/spreadsheetml/2010/11/main" uri="{B97F6D7D-B522-45F9-BDA1-12C45D357490}">
          <x15:cacheHierarchy aggregatedColumn="5"/>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pc" refreshedDate="46278.90292789352" backgroundQuery="1" createdVersion="5" refreshedVersion="5" minRefreshableVersion="3" recordCount="0" supportSubquery="1" supportAdvancedDrill="1">
  <cacheSource type="external" connectionId="1"/>
  <cacheFields count="3">
    <cacheField name="[Measures].[Count of Promo Code]" caption="Count of Promo Code" numFmtId="0" hierarchy="23" level="32767"/>
    <cacheField name="[Table2].[Gender].[Gender]" caption="Gender" numFmtId="0" hierarchy="7" level="1">
      <sharedItems containsSemiMixedTypes="0" containsNonDate="0" containsString="0"/>
    </cacheField>
    <cacheField name="[Table2].[Location].[Location]" caption="Location" numFmtId="0" hierarchy="9" level="1">
      <sharedItems containsSemiMixedTypes="0" containsNonDate="0" containsString="0"/>
    </cacheField>
  </cacheFields>
  <cacheHierarchies count="26">
    <cacheHierarchy uniqueName="[Table2].[Order ID]" caption="Order ID" attribute="1" defaultMemberUniqueName="[Table2].[Order ID].[All]" allUniqueName="[Table2].[Order ID].[All]" dimensionUniqueName="[Table2]"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Promo Code]" caption="Promo Code" attribute="1" defaultMemberUniqueName="[Table2].[Promo Code].[All]" allUniqueName="[Table2].[Promo Code].[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1"/>
      </fieldsUsage>
    </cacheHierarchy>
    <cacheHierarchy uniqueName="[Table2].[Age]" caption="Age" attribute="1" defaultMemberUniqueName="[Table2].[Age].[All]" allUniqueName="[Table2].[Age].[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Season]" caption="Season" attribute="1" defaultMemberUniqueName="[Table2].[Season].[All]" allUniqueName="[Table2].[Season].[All]" dimensionUniqueName="[Table2]" displayFolder="" count="2"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2].[Repeat Customer]" caption="Repeat Customer" attribute="1" defaultMemberUniqueName="[Table2].[Repeat Customer].[All]" allUniqueName="[Table2].[Repeat Customer].[All]" dimensionUniqueName="[Table2]" displayFolder="" count="0" memberValueDatatype="130" unbalanced="0"/>
    <cacheHierarchy uniqueName="[Table2].[Promo Used]" caption="Promo Used" attribute="1" defaultMemberUniqueName="[Table2].[Promo Used].[All]" allUniqueName="[Table2].[Promo Used].[All]" dimensionUniqueName="[Table2]" displayFolder="" count="0" memberValueDatatype="130" unbalanced="0"/>
    <cacheHierarchy uniqueName="[Measures].[Sum of Price]" caption="Sum of Price" measure="1" displayFolder="" measureGroup="Table2" count="0">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2" count="0">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2" count="0">
      <extLst>
        <ext xmlns:x15="http://schemas.microsoft.com/office/spreadsheetml/2010/11/main" uri="{B97F6D7D-B522-45F9-BDA1-12C45D357490}">
          <x15:cacheHierarchy aggregatedColumn="12"/>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Count of Promo Code]" caption="Count of Promo Code" measure="1" displayFolder="" measureGroup="Table2" count="0" oneField="1">
      <fieldsUsage count="1">
        <fieldUsage x="0"/>
      </fieldsUsage>
      <extLst>
        <ext xmlns:x15="http://schemas.microsoft.com/office/spreadsheetml/2010/11/main" uri="{B97F6D7D-B522-45F9-BDA1-12C45D357490}">
          <x15:cacheHierarchy aggregatedColumn="5"/>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pc" refreshedDate="46278.902928819443" backgroundQuery="1" createdVersion="5" refreshedVersion="5" minRefreshableVersion="3" recordCount="0" supportSubquery="1" supportAdvancedDrill="1">
  <cacheSource type="external" connectionId="1"/>
  <cacheFields count="4">
    <cacheField name="[Table2].[Category].[Category]" caption="Category" numFmtId="0" hierarchy="10" level="1">
      <sharedItems count="2">
        <s v="Accessories"/>
        <s v="Clothing"/>
      </sharedItems>
    </cacheField>
    <cacheField name="[Measures].[Sum of Price]" caption="Sum of Price" numFmtId="0" hierarchy="17" level="32767"/>
    <cacheField name="[Table2].[Gender].[Gender]" caption="Gender" numFmtId="0" hierarchy="7" level="1">
      <sharedItems containsSemiMixedTypes="0" containsNonDate="0" containsString="0"/>
    </cacheField>
    <cacheField name="[Table2].[Location].[Location]" caption="Location" numFmtId="0" hierarchy="9" level="1">
      <sharedItems containsSemiMixedTypes="0" containsNonDate="0" containsString="0"/>
    </cacheField>
  </cacheFields>
  <cacheHierarchies count="26">
    <cacheHierarchy uniqueName="[Table2].[Order ID]" caption="Order ID" attribute="1" defaultMemberUniqueName="[Table2].[Order ID].[All]" allUniqueName="[Table2].[Order ID].[All]" dimensionUniqueName="[Table2]"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Promo Code]" caption="Promo Code" attribute="1" defaultMemberUniqueName="[Table2].[Promo Code].[All]" allUniqueName="[Table2].[Promo Code].[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Age]" caption="Age" attribute="1" defaultMemberUniqueName="[Table2].[Age].[All]" allUniqueName="[Table2].[Age].[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Product Name]" caption="Product Name" attribute="1" defaultMemberUniqueName="[Table2].[Product Name].[All]" allUniqueName="[Table2].[Product Name].[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Season]" caption="Season" attribute="1" defaultMemberUniqueName="[Table2].[Season].[All]" allUniqueName="[Table2].[Season].[All]" dimensionUniqueName="[Table2]" displayFolder="" count="2"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2].[Repeat Customer]" caption="Repeat Customer" attribute="1" defaultMemberUniqueName="[Table2].[Repeat Customer].[All]" allUniqueName="[Table2].[Repeat Customer].[All]" dimensionUniqueName="[Table2]" displayFolder="" count="0" memberValueDatatype="130" unbalanced="0"/>
    <cacheHierarchy uniqueName="[Table2].[Promo Used]" caption="Promo Used" attribute="1" defaultMemberUniqueName="[Table2].[Promo Used].[All]" allUniqueName="[Table2].[Promo Used].[All]" dimensionUniqueName="[Table2]" displayFolder="" count="0" memberValueDatatype="130" unbalanced="0"/>
    <cacheHierarchy uniqueName="[Measures].[Sum of Price]" caption="Sum of Price" measure="1" displayFolder="" measureGroup="Table2" count="0" oneField="1">
      <fieldsUsage count="1">
        <fieldUsage x="1"/>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2" count="0">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2" count="0">
      <extLst>
        <ext xmlns:x15="http://schemas.microsoft.com/office/spreadsheetml/2010/11/main" uri="{B97F6D7D-B522-45F9-BDA1-12C45D357490}">
          <x15:cacheHierarchy aggregatedColumn="12"/>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Count of Promo Code]" caption="Count of Promo Code" measure="1" displayFolder="" measureGroup="Table2" count="0">
      <extLst>
        <ext xmlns:x15="http://schemas.microsoft.com/office/spreadsheetml/2010/11/main" uri="{B97F6D7D-B522-45F9-BDA1-12C45D357490}">
          <x15:cacheHierarchy aggregatedColumn="5"/>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pc" refreshedDate="46278.902929629628" backgroundQuery="1" createdVersion="5" refreshedVersion="5" minRefreshableVersion="3" recordCount="0" supportSubquery="1" supportAdvancedDrill="1">
  <cacheSource type="external" connectionId="1"/>
  <cacheFields count="4">
    <cacheField name="[Table2].[Promo Used].[Promo Used]" caption="Promo Used" numFmtId="0" hierarchy="16" level="1">
      <sharedItems count="2">
        <s v="No Code"/>
        <s v="Used Code"/>
      </sharedItems>
    </cacheField>
    <cacheField name="[Measures].[Count of Customer ID]" caption="Count of Customer ID" numFmtId="0" hierarchy="18" level="32767"/>
    <cacheField name="[Table2].[Gender].[Gender]" caption="Gender" numFmtId="0" hierarchy="7" level="1">
      <sharedItems containsSemiMixedTypes="0" containsNonDate="0" containsString="0"/>
    </cacheField>
    <cacheField name="[Table2].[Location].[Location]" caption="Location" numFmtId="0" hierarchy="9" level="1">
      <sharedItems containsSemiMixedTypes="0" containsNonDate="0" containsString="0"/>
    </cacheField>
  </cacheFields>
  <cacheHierarchies count="26">
    <cacheHierarchy uniqueName="[Table2].[Order ID]" caption="Order ID" attribute="1" defaultMemberUniqueName="[Table2].[Order ID].[All]" allUniqueName="[Table2].[Order ID].[All]" dimensionUniqueName="[Table2]" displayFolder="" count="0" memberValueDatatype="20" unbalanced="0"/>
    <cacheHierarchy uniqueName="[Table2].[Customer ID]" caption="Customer ID" attribute="1" defaultMemberUniqueName="[Table2].[Customer ID].[All]" allUniqueName="[Table2].[Customer ID].[All]" dimensionUniqueName="[Table2]" displayFolder="" count="2"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Promo Code]" caption="Promo Code" attribute="1" defaultMemberUniqueName="[Table2].[Promo Code].[All]" allUniqueName="[Table2].[Promo Code].[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Age]" caption="Age" attribute="1" defaultMemberUniqueName="[Table2].[Age].[All]" allUniqueName="[Table2].[Age].[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Season]" caption="Season" attribute="1" defaultMemberUniqueName="[Table2].[Season].[All]" allUniqueName="[Table2].[Season].[All]" dimensionUniqueName="[Table2]" displayFolder="" count="2"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2].[Repeat Customer]" caption="Repeat Customer" attribute="1" defaultMemberUniqueName="[Table2].[Repeat Customer].[All]" allUniqueName="[Table2].[Repeat Customer].[All]" dimensionUniqueName="[Table2]" displayFolder="" count="0" memberValueDatatype="130" unbalanced="0"/>
    <cacheHierarchy uniqueName="[Table2].[Promo Used]" caption="Promo Used" attribute="1" defaultMemberUniqueName="[Table2].[Promo Used].[All]" allUniqueName="[Table2].[Promo Used].[All]" dimensionUniqueName="[Table2]" displayFolder="" count="2" memberValueDatatype="130" unbalanced="0">
      <fieldsUsage count="2">
        <fieldUsage x="-1"/>
        <fieldUsage x="0"/>
      </fieldsUsage>
    </cacheHierarchy>
    <cacheHierarchy uniqueName="[Measures].[Sum of Price]" caption="Sum of Price" measure="1" displayFolder="" measureGroup="Table2" count="0">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2" count="0" oneField="1">
      <fieldsUsage count="1">
        <fieldUsage x="1"/>
      </fieldsUsage>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2" count="0">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2" count="0">
      <extLst>
        <ext xmlns:x15="http://schemas.microsoft.com/office/spreadsheetml/2010/11/main" uri="{B97F6D7D-B522-45F9-BDA1-12C45D357490}">
          <x15:cacheHierarchy aggregatedColumn="12"/>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Count of Promo Code]" caption="Count of Promo Code" measure="1" displayFolder="" measureGroup="Table2" count="0">
      <extLst>
        <ext xmlns:x15="http://schemas.microsoft.com/office/spreadsheetml/2010/11/main" uri="{B97F6D7D-B522-45F9-BDA1-12C45D357490}">
          <x15:cacheHierarchy aggregatedColumn="5"/>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pc" refreshedDate="46273.005681828705"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Table2].[Order ID]" caption="Order ID" attribute="1" defaultMemberUniqueName="[Table2].[Order ID].[All]" allUniqueName="[Table2].[Order ID].[All]" dimensionUniqueName="[Table2]"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Promo Code]" caption="Promo Code" attribute="1" defaultMemberUniqueName="[Table2].[Promo Code].[All]" allUniqueName="[Table2].[Promo Code].[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Season]" caption="Season" attribute="1" defaultMemberUniqueName="[Table2].[Season].[All]" allUniqueName="[Table2].[Season].[All]" dimensionUniqueName="[Table2]" displayFolder="" count="2"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Table2].[Repeat Customer]" caption="Repeat Customer" attribute="1" defaultMemberUniqueName="[Table2].[Repeat Customer].[All]" allUniqueName="[Table2].[Repeat Customer].[All]" dimensionUniqueName="[Table2]" displayFolder="" count="0" memberValueDatatype="130" unbalanced="0"/>
    <cacheHierarchy uniqueName="[Table2].[Promo Used]" caption="Promo Used" attribute="1" defaultMemberUniqueName="[Table2].[Promo Used].[All]" allUniqueName="[Table2].[Promo Used].[All]" dimensionUniqueName="[Table2]" displayFolder="" count="0" memberValueDatatype="130" unbalanced="0"/>
    <cacheHierarchy uniqueName="[Measures].[Sum of Price]" caption="Sum of Price" measure="1" displayFolder="" measureGroup="Table2" count="0">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2" count="0">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2" count="0">
      <extLst>
        <ext xmlns:x15="http://schemas.microsoft.com/office/spreadsheetml/2010/11/main" uri="{B97F6D7D-B522-45F9-BDA1-12C45D357490}">
          <x15:cacheHierarchy aggregatedColumn="12"/>
        </ext>
      </extLst>
    </cacheHierarchy>
    <cacheHierarchy uniqueName="[Measures].[Sum of Order ID]" caption="Sum of Order ID" measure="1" displayFolder="" measureGroup="Table2"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2" count="0">
      <extLst>
        <ext xmlns:x15="http://schemas.microsoft.com/office/spreadsheetml/2010/11/main" uri="{B97F6D7D-B522-45F9-BDA1-12C45D357490}">
          <x15:cacheHierarchy aggregatedColumn="0"/>
        </ext>
      </extLst>
    </cacheHierarchy>
    <cacheHierarchy uniqueName="[Measures].[Count of Promo Code]" caption="Count of Promo Code" measure="1" displayFolder="" measureGroup="Table2" count="0">
      <extLst>
        <ext xmlns:x15="http://schemas.microsoft.com/office/spreadsheetml/2010/11/main" uri="{B97F6D7D-B522-45F9-BDA1-12C45D357490}">
          <x15:cacheHierarchy aggregatedColumn="5"/>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16" cacheId="76"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9">
  <location ref="A4:B6" firstHeaderRow="1" firstDataRow="1" firstDataCol="1"/>
  <pivotFields count="3">
    <pivotField axis="axisRow" allDrilled="1" showAll="0" dataSourceSort="1" defaultAttributeDrillState="1">
      <items count="3">
        <item s="1" x="0"/>
        <item x="1"/>
        <item t="default"/>
      </items>
    </pivotField>
    <pivotField dataField="1" showAll="0"/>
    <pivotField allDrilled="1" showAll="0" dataSourceSort="1" defaultAttributeDrillState="1"/>
  </pivotFields>
  <rowFields count="1">
    <field x="0"/>
  </rowFields>
  <rowItems count="2">
    <i>
      <x/>
    </i>
    <i t="grand">
      <x/>
    </i>
  </rowItems>
  <colItems count="1">
    <i/>
  </colItems>
  <dataFields count="1">
    <dataField name="Sum of Price" fld="1"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able2].[Location].&amp;[Ilorin]"/>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2">
        <x15:activeTabTopLevelEntity name="[Table2]"/>
      </x15:pivotTableUISettings>
    </ext>
  </extLst>
</pivotTableDefinition>
</file>

<file path=xl/pivotTables/pivotTable2.xml><?xml version="1.0" encoding="utf-8"?>
<pivotTableDefinition xmlns="http://schemas.openxmlformats.org/spreadsheetml/2006/main" name="PivotTable3" cacheId="97"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5">
  <location ref="L11:M14"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Sum of Pric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Gender].&amp;[Male]"/>
      </members>
    </pivotHierarchy>
    <pivotHierarchy dragToData="1"/>
    <pivotHierarchy multipleItemSelectionAllowed="1" dragToData="1">
      <members count="1" level="1">
        <member name="[Table2].[Location].&amp;[Ilorin]"/>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2">
        <x15:activeTabTopLevelEntity name="[Table2]"/>
      </x15:pivotTableUISettings>
    </ext>
  </extLst>
</pivotTableDefinition>
</file>

<file path=xl/pivotTables/pivotTable3.xml><?xml version="1.0" encoding="utf-8"?>
<pivotTableDefinition xmlns="http://schemas.openxmlformats.org/spreadsheetml/2006/main" name="PivotTable18" cacheId="8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5">
  <location ref="H1:K7" firstHeaderRow="1" firstDataRow="2" firstDataCol="1"/>
  <pivotFields count="5">
    <pivotField axis="axisRow" allDrilled="1" showAll="0" dataSourceSort="1" defaultAttributeDrillState="1">
      <items count="5">
        <item x="0"/>
        <item x="1"/>
        <item x="2"/>
        <item x="3"/>
        <item t="default"/>
      </items>
    </pivotField>
    <pivotField axis="axisCol"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5">
    <i>
      <x/>
    </i>
    <i>
      <x v="1"/>
    </i>
    <i>
      <x v="2"/>
    </i>
    <i>
      <x v="3"/>
    </i>
    <i t="grand">
      <x/>
    </i>
  </rowItems>
  <colFields count="1">
    <field x="1"/>
  </colFields>
  <colItems count="3">
    <i>
      <x/>
    </i>
    <i>
      <x v="1"/>
    </i>
    <i t="grand">
      <x/>
    </i>
  </colItems>
  <dataFields count="1">
    <dataField name="Sum of Price" fld="2"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Gender].&amp;[Male]"/>
      </members>
    </pivotHierarchy>
    <pivotHierarchy dragToData="1"/>
    <pivotHierarchy multipleItemSelectionAllowed="1" dragToData="1">
      <members count="1" level="1">
        <member name="[Table2].[Location].&amp;[Ilorin]"/>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2">
        <x15:activeTabTopLevelEntity name="[Table2]"/>
      </x15:pivotTableUISettings>
    </ext>
  </extLst>
</pivotTableDefinition>
</file>

<file path=xl/pivotTables/pivotTable4.xml><?xml version="1.0" encoding="utf-8"?>
<pivotTableDefinition xmlns="http://schemas.openxmlformats.org/spreadsheetml/2006/main" name="PivotTable19" cacheId="85"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6">
  <location ref="E4:F6" firstHeaderRow="1" firstDataRow="1" firstDataCol="1"/>
  <pivotFields count="3">
    <pivotField axis="axisRow" allDrilled="1" showAll="0" sortType="descending" defaultAttributeDrillState="1">
      <items count="2">
        <item s="1" x="0"/>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2">
    <i>
      <x/>
    </i>
    <i t="grand">
      <x/>
    </i>
  </rowItems>
  <colItems count="1">
    <i/>
  </colItems>
  <dataFields count="1">
    <dataField name="Sum of Pric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Gender].&amp;[Male]"/>
      </members>
    </pivotHierarchy>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2">
        <x15:activeTabTopLevelEntity name="[Table2]"/>
      </x15:pivotTableUISettings>
    </ext>
  </extLst>
</pivotTableDefinition>
</file>

<file path=xl/pivotTables/pivotTable5.xml><?xml version="1.0" encoding="utf-8"?>
<pivotTableDefinition xmlns="http://schemas.openxmlformats.org/spreadsheetml/2006/main" name="PivotTable15" cacheId="7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1:C2" firstHeaderRow="0" firstDataRow="1" firstDataCol="0"/>
  <pivotFields count="5">
    <pivotField dataField="1" showAll="0"/>
    <pivotField dataField="1" showAll="0"/>
    <pivotField dataField="1" showAll="0"/>
    <pivotField allDrilled="1" showAll="0" dataSourceSort="1" defaultAttributeDrillState="1"/>
    <pivotField allDrilled="1" showAll="0" dataSourceSort="1" defaultAttributeDrillState="1"/>
  </pivotFields>
  <rowItems count="1">
    <i/>
  </rowItems>
  <colFields count="1">
    <field x="-2"/>
  </colFields>
  <colItems count="3">
    <i>
      <x/>
    </i>
    <i i="1">
      <x v="1"/>
    </i>
    <i i="2">
      <x v="2"/>
    </i>
  </colItems>
  <dataFields count="3">
    <dataField name="Sum of Price" fld="0" baseField="0" baseItem="0"/>
    <dataField name="Distinct Count of Customer ID" fld="2" subtotal="count" baseField="0" baseItem="1">
      <extLst>
        <ext xmlns:x15="http://schemas.microsoft.com/office/spreadsheetml/2010/11/main" uri="{FABC7310-3BB5-11E1-824E-6D434824019B}">
          <x15:dataField isCountDistinct="1"/>
        </ext>
      </extLst>
    </dataField>
    <dataField name="Average of Price2" fld="1" subtotal="average" baseField="0" baseItem="1"/>
  </dataFields>
  <formats count="3">
    <format dxfId="75">
      <pivotArea type="all" dataOnly="0" outline="0" fieldPosition="0"/>
    </format>
    <format dxfId="74">
      <pivotArea outline="0" collapsedLevelsAreSubtotals="1" fieldPosition="0"/>
    </format>
    <format dxfId="73">
      <pivotArea dataOnly="0" labelOnly="1" outline="0" fieldPosition="0">
        <references count="1">
          <reference field="4294967294" count="3">
            <x v="0"/>
            <x v="1"/>
            <x v="2"/>
          </reference>
        </references>
      </pivotArea>
    </format>
  </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Gender].&amp;[Male]"/>
      </members>
    </pivotHierarchy>
    <pivotHierarchy dragToData="1"/>
    <pivotHierarchy multipleItemSelectionAllowed="1" dragToData="1">
      <members count="1" level="1">
        <member name="[Table2].[Location].&amp;[Ilorin]"/>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2">
        <x15:activeTabTopLevelEntity name="[Table2]"/>
      </x15:pivotTableUISettings>
    </ext>
  </extLst>
</pivotTableDefinition>
</file>

<file path=xl/pivotTables/pivotTable6.xml><?xml version="1.0" encoding="utf-8"?>
<pivotTableDefinition xmlns="http://schemas.openxmlformats.org/spreadsheetml/2006/main" name="PivotTable17" cacheId="79"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5">
  <location ref="A9:B12"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Sum of Price"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Gender].&amp;[Male]"/>
      </members>
    </pivotHierarchy>
    <pivotHierarchy dragToData="1"/>
    <pivotHierarchy multipleItemSelectionAllowed="1" dragToData="1">
      <members count="1" level="1">
        <member name="[Table2].[Location].&amp;[Ilorin]"/>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2">
        <x15:activeTabTopLevelEntity name="[Table2]"/>
      </x15:pivotTableUISettings>
    </ext>
  </extLst>
</pivotTableDefinition>
</file>

<file path=xl/pivotTables/pivotTable7.xml><?xml version="1.0" encoding="utf-8"?>
<pivotTableDefinition xmlns="http://schemas.openxmlformats.org/spreadsheetml/2006/main" name="PivotTable22" cacheId="9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I11:I12"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Count of Promo Code" fld="0" subtotal="count" baseField="0" baseItem="0"/>
  </dataFields>
  <formats count="1">
    <format dxfId="76">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Gender].&amp;[Male]"/>
      </members>
    </pivotHierarchy>
    <pivotHierarchy dragToData="1"/>
    <pivotHierarchy multipleItemSelectionAllowed="1" dragToData="1">
      <members count="1" level="1">
        <member name="[Table2].[Location].&amp;[Ilorin]"/>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2">
        <x15:activeTabTopLevelEntity name="[Table2]"/>
      </x15:pivotTableUISettings>
    </ext>
  </extLst>
</pivotTableDefinition>
</file>

<file path=xl/pivotTables/pivotTable8.xml><?xml version="1.0" encoding="utf-8"?>
<pivotTableDefinition xmlns="http://schemas.openxmlformats.org/spreadsheetml/2006/main" name="PivotTable21" cacheId="9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6">
  <location ref="J18:K21" firstHeaderRow="1" firstDataRow="1" firstDataCol="1"/>
  <pivotFields count="4">
    <pivotField axis="axisRow" allDrilled="1" showAll="0" dataSourceSort="1" defaultAttributeDrillState="1">
      <items count="3">
        <item n="One-Time Customer" x="0"/>
        <item n="Repeat Customer"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Distinct Count of Customer ID" fld="1" subtotal="count" baseField="0" baseItem="0">
      <extLst>
        <ext xmlns:x15="http://schemas.microsoft.com/office/spreadsheetml/2010/11/main" uri="{FABC7310-3BB5-11E1-824E-6D434824019B}">
          <x15:dataField isCountDistinct="1"/>
        </ext>
      </extLst>
    </dataField>
  </dataFields>
  <formats count="6">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outline="0" axis="axisValues" fieldPosition="0"/>
    </format>
    <format dxfId="78">
      <pivotArea dataOnly="0" labelOnly="1" fieldPosition="0">
        <references count="1">
          <reference field="0" count="0"/>
        </references>
      </pivotArea>
    </format>
    <format dxfId="77">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Gender].&amp;[Male]"/>
      </members>
    </pivotHierarchy>
    <pivotHierarchy dragToData="1"/>
    <pivotHierarchy multipleItemSelectionAllowed="1" dragToData="1">
      <members count="1" level="1">
        <member name="[Table2].[Location].&amp;[Ilorin]"/>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2">
        <x15:activeTabTopLevelEntity name="[Table2]"/>
      </x15:pivotTableUISettings>
    </ext>
  </extLst>
</pivotTableDefinition>
</file>

<file path=xl/pivotTables/pivotTable9.xml><?xml version="1.0" encoding="utf-8"?>
<pivotTableDefinition xmlns="http://schemas.openxmlformats.org/spreadsheetml/2006/main" name="PivotTable20" cacheId="88"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5">
  <location ref="B16:C20" firstHeaderRow="1" firstDataRow="1" firstDataCol="1"/>
  <pivotFields count="4">
    <pivotField axis="axisRow" allDrilled="1" showAll="0" dataSourceSort="1" defaultAttributeDrillState="1">
      <items count="4">
        <item x="0"/>
        <item x="1"/>
        <item x="2"/>
        <item t="default"/>
      </items>
    </pivotField>
    <pivotField dataField="1" showAll="0"/>
    <pivotField allDrilled="1" showAll="0" dataSourceSort="1" defaultAttributeDrillState="1"/>
    <pivotField allDrilled="1" showAll="0" dataSourceSort="1" defaultAttributeDrillState="1"/>
  </pivotFields>
  <rowFields count="1">
    <field x="0"/>
  </rowFields>
  <rowItems count="4">
    <i>
      <x/>
    </i>
    <i>
      <x v="1"/>
    </i>
    <i>
      <x v="2"/>
    </i>
    <i t="grand">
      <x/>
    </i>
  </rowItems>
  <colItems count="1">
    <i/>
  </colItems>
  <dataFields count="1">
    <dataField name="Count of Order ID" fld="1" subtotal="count" baseField="0" baseItem="0"/>
  </dataFields>
  <formats count="6">
    <format dxfId="88">
      <pivotArea type="all" dataOnly="0" outline="0" fieldPosition="0"/>
    </format>
    <format dxfId="87">
      <pivotArea outline="0" collapsedLevelsAreSubtotals="1" fieldPosition="0"/>
    </format>
    <format dxfId="86">
      <pivotArea field="0" type="button" dataOnly="0" labelOnly="1" outline="0" axis="axisRow" fieldPosition="0"/>
    </format>
    <format dxfId="85">
      <pivotArea dataOnly="0" labelOnly="1" outline="0" axis="axisValues" fieldPosition="0"/>
    </format>
    <format dxfId="84">
      <pivotArea dataOnly="0" labelOnly="1" fieldPosition="0">
        <references count="1">
          <reference field="0" count="0"/>
        </references>
      </pivotArea>
    </format>
    <format dxfId="83">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Gender].&amp;[Male]"/>
      </members>
    </pivotHierarchy>
    <pivotHierarchy dragToData="1"/>
    <pivotHierarchy multipleItemSelectionAllowed="1" dragToData="1">
      <members count="1" level="1">
        <member name="[Table2].[Location].&amp;[Ilorin]"/>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2">
        <x15:activeTabTopLevelEntity name="[Table2]"/>
      </x15:pivotTableUISettings>
    </ext>
  </extLst>
</pivotTableDefinition>
</file>

<file path=xl/pivotTables/pivotTable10.xml><?xml version="1.0" encoding="utf-8"?>
<pivotTableDefinition xmlns="http://schemas.openxmlformats.org/spreadsheetml/2006/main" name="PivotTable1" cacheId="100"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7">
  <location ref="H20:I23"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Count of Customer ID"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3" format="3"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Gender].&amp;[Male]"/>
      </members>
    </pivotHierarchy>
    <pivotHierarchy dragToData="1"/>
    <pivotHierarchy multipleItemSelectionAllowed="1" dragToData="1">
      <members count="1" level="1">
        <member name="[Table2].[Location].&amp;[Ilorin]"/>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2">
        <x15:activeTabTopLevelEntity name="[Table2]"/>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Table2].[Gender]">
  <pivotTables>
    <pivotTable tabId="16" name="PivotTable15"/>
    <pivotTable tabId="16" name="PivotTable16"/>
    <pivotTable tabId="16" name="PivotTable17"/>
    <pivotTable tabId="16" name="PivotTable18"/>
    <pivotTable tabId="16" name="PivotTable19"/>
    <pivotTable tabId="16" name="PivotTable20"/>
    <pivotTable tabId="16" name="PivotTable21"/>
    <pivotTable tabId="16" name="PivotTable22"/>
    <pivotTable tabId="16" name="PivotTable3"/>
    <pivotTable tabId="16" name="PivotTable1"/>
  </pivotTables>
  <data>
    <olap pivotCacheId="3">
      <levels count="2">
        <level uniqueName="[Table2].[Gender].[(All)]" sourceCaption="(All)" count="0"/>
        <level uniqueName="[Table2].[Gender].[Gender]" sourceCaption="Gender" count="2">
          <ranges>
            <range startItem="0">
              <i n="[Table2].[Gender].&amp;[Female]" c="Female"/>
              <i n="[Table2].[Gender].&amp;[Male]" c="Male"/>
            </range>
          </ranges>
        </level>
      </levels>
      <selections count="1">
        <selection n="[Table2].[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ason" sourceName="[Table2].[Season]">
  <pivotTables>
    <pivotTable tabId="16" name="PivotTable15"/>
    <pivotTable tabId="16" name="PivotTable16"/>
    <pivotTable tabId="16" name="PivotTable17"/>
    <pivotTable tabId="16" name="PivotTable18"/>
    <pivotTable tabId="16" name="PivotTable19"/>
    <pivotTable tabId="16" name="PivotTable20"/>
    <pivotTable tabId="16" name="PivotTable21"/>
    <pivotTable tabId="16" name="PivotTable22"/>
    <pivotTable tabId="16" name="PivotTable3"/>
    <pivotTable tabId="16" name="PivotTable1"/>
  </pivotTables>
  <data>
    <olap pivotCacheId="3">
      <levels count="2">
        <level uniqueName="[Table2].[Season].[(All)]" sourceCaption="(All)" count="0"/>
        <level uniqueName="[Table2].[Season].[Season]" sourceCaption="Season" count="4">
          <ranges>
            <range startItem="0">
              <i n="[Table2].[Season].&amp;[Fall]" c="Fall"/>
              <i n="[Table2].[Season].&amp;[Spring]" c="Spring"/>
              <i n="[Table2].[Season].&amp;[Summer]" c="Summer"/>
              <i n="[Table2].[Season].&amp;[Winter]" c="Winter"/>
            </range>
          </ranges>
        </level>
      </levels>
      <selections count="1">
        <selection n="[Table2].[Sea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cation" sourceName="[Table2].[Location]">
  <pivotTables>
    <pivotTable tabId="16" name="PivotTable15"/>
    <pivotTable tabId="16" name="PivotTable16"/>
    <pivotTable tabId="16" name="PivotTable17"/>
    <pivotTable tabId="16" name="PivotTable18"/>
    <pivotTable tabId="16" name="PivotTable19"/>
    <pivotTable tabId="16" name="PivotTable20"/>
    <pivotTable tabId="16" name="PivotTable21"/>
    <pivotTable tabId="16" name="PivotTable22"/>
    <pivotTable tabId="16" name="PivotTable3"/>
    <pivotTable tabId="16" name="PivotTable1"/>
  </pivotTables>
  <data>
    <olap pivotCacheId="3">
      <levels count="2">
        <level uniqueName="[Table2].[Location].[(All)]" sourceCaption="(All)" count="0"/>
        <level uniqueName="[Table2].[Location].[Location]" sourceCaption="Location" count="16">
          <ranges>
            <range startItem="0">
              <i n="[Table2].[Location].&amp;[Abeokuta]" c="Abeokuta"/>
              <i n="[Table2].[Location].&amp;[Abuja]" c="Abuja"/>
              <i n="[Table2].[Location].&amp;[Benin City]" c="Benin City"/>
              <i n="[Table2].[Location].&amp;[Calabar]" c="Calabar"/>
              <i n="[Table2].[Location].&amp;[Enugu]" c="Enugu"/>
              <i n="[Table2].[Location].&amp;[Ibadan]" c="Ibadan"/>
              <i n="[Table2].[Location].&amp;[Ilorin]" c="Ilorin"/>
              <i n="[Table2].[Location].&amp;[Jos]" c="Jos"/>
              <i n="[Table2].[Location].&amp;[Kaduna]" c="Kaduna"/>
              <i n="[Table2].[Location].&amp;[Kano]" c="Kano"/>
              <i n="[Table2].[Location].&amp;[Lagos]" c="Lagos"/>
              <i n="[Table2].[Location].&amp;[Owerri]" c="Owerri"/>
              <i n="[Table2].[Location].&amp;[Port Harcourt]" c="Port Harcourt"/>
              <i n="[Table2].[Location].&amp;[Unknown]" c="Unknown"/>
              <i n="[Table2].[Location].&amp;[Uyo]" c="Uyo"/>
              <i n="[Table2].[Location].&amp;[Warri]" c="Warri"/>
            </range>
          </ranges>
        </level>
      </levels>
      <selections count="1">
        <selection n="[Table2].[Location].&amp;[Ilorin]"/>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Table2].[Category]">
  <pivotTables>
    <pivotTable tabId="16" name="PivotTable15"/>
    <pivotTable tabId="16" name="PivotTable16"/>
    <pivotTable tabId="16" name="PivotTable17"/>
    <pivotTable tabId="16" name="PivotTable18"/>
    <pivotTable tabId="16" name="PivotTable19"/>
    <pivotTable tabId="16" name="PivotTable20"/>
    <pivotTable tabId="16" name="PivotTable21"/>
    <pivotTable tabId="16" name="PivotTable22"/>
    <pivotTable tabId="16" name="PivotTable3"/>
    <pivotTable tabId="16" name="PivotTable1"/>
  </pivotTables>
  <data>
    <olap pivotCacheId="3">
      <levels count="2">
        <level uniqueName="[Table2].[Category].[(All)]" sourceCaption="(All)" count="0"/>
        <level uniqueName="[Table2].[Category].[Category]" sourceCaption="Category" count="2">
          <ranges>
            <range startItem="0">
              <i n="[Table2].[Category].&amp;[Accessories]" c="Accessories"/>
              <i n="[Table2].[Category].&amp;[Clothing]" c="Clothing"/>
            </range>
          </ranges>
        </level>
      </levels>
      <selections count="1">
        <selection n="[Table2].[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level="1" rowHeight="241300"/>
  <slicer name="Season" cache="Slicer_Season" caption="Season" columnCount="2" level="1" rowHeight="241300"/>
  <slicer name="Location" cache="Slicer_Location" caption="Location" columnCount="4" level="1" rowHeight="241300"/>
  <slicer name="Category" cache="Slicer_Category" caption="Category" level="1" rowHeight="241300"/>
</slicers>
</file>

<file path=xl/tables/table1.xml><?xml version="1.0" encoding="utf-8"?>
<table xmlns="http://schemas.openxmlformats.org/spreadsheetml/2006/main" id="2" name="Table2" displayName="Table2" ref="A1:Q299" totalsRowShown="0" headerRowDxfId="72" dataDxfId="71">
  <autoFilter ref="A1:Q299"/>
  <tableColumns count="17">
    <tableColumn id="1" name="Order ID" dataDxfId="70"/>
    <tableColumn id="2" name="Customer ID" dataDxfId="69"/>
    <tableColumn id="3" name="Product ID" dataDxfId="68"/>
    <tableColumn id="4" name="Order Date" dataDxfId="67"/>
    <tableColumn id="5" name="Payment Method" dataDxfId="66"/>
    <tableColumn id="6" name="Promo Code" dataDxfId="65"/>
    <tableColumn id="7" name="Customer Name" dataDxfId="64">
      <calculatedColumnFormula>INDEX(Customers!B:B,MATCH(B2,Customers!A:A,0))</calculatedColumnFormula>
    </tableColumn>
    <tableColumn id="8" name="Gender" dataDxfId="63">
      <calculatedColumnFormula>INDEX(Customers!E:E,MATCH(B2,Customers!A:A,0))</calculatedColumnFormula>
    </tableColumn>
    <tableColumn id="9" name="Age" dataDxfId="62">
      <calculatedColumnFormula>INDEX(Customers!C:C,MATCH(B2,Customers!A:A,0))</calculatedColumnFormula>
    </tableColumn>
    <tableColumn id="10" name="Location" dataDxfId="61">
      <calculatedColumnFormula>INDEX(Customers!D:D,MATCH(B2,Customers!A:A,0))</calculatedColumnFormula>
    </tableColumn>
    <tableColumn id="11" name="Category" dataDxfId="60">
      <calculatedColumnFormula>INDEX(Products!B:B,MATCH(C2,Products!A:A,0))</calculatedColumnFormula>
    </tableColumn>
    <tableColumn id="12" name="Product Name" dataDxfId="59">
      <calculatedColumnFormula>INDEX(Products!C:C,MATCH(C2,Products!A:A,0))</calculatedColumnFormula>
    </tableColumn>
    <tableColumn id="13" name="Price" dataDxfId="58">
      <calculatedColumnFormula>INDEX(Products!D:D,MATCH(C2,Products!A:A,0))</calculatedColumnFormula>
    </tableColumn>
    <tableColumn id="14" name="Season" dataDxfId="57">
      <calculatedColumnFormula>CHOOSE(MONTH(D2),"Winter","Winter","Spring","Spring","Spring","Summer","Summer","Summer","Fall","Fall","Fall","Winter")</calculatedColumnFormula>
    </tableColumn>
    <tableColumn id="15" name="Age Group" dataDxfId="56">
      <calculatedColumnFormula>IF(I2&lt;20,"&lt;20",IF(I2&lt;40,"20-40",IF(I2&lt;60,"40-60","60+")))</calculatedColumnFormula>
    </tableColumn>
    <tableColumn id="16" name="Repeat Customer" dataDxfId="55">
      <calculatedColumnFormula>IF(COUNTIF(B:B,B2)&gt;1,"Yes","No")</calculatedColumnFormula>
    </tableColumn>
    <tableColumn id="17" name="Promo Used" dataDxfId="54">
      <calculatedColumnFormula>IF(F2="","No Code","Used Code")</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4"/>
  <sheetViews>
    <sheetView workbookViewId="0">
      <selection activeCell="F5" sqref="F5"/>
    </sheetView>
  </sheetViews>
  <sheetFormatPr defaultRowHeight="12.75" x14ac:dyDescent="0.2"/>
  <cols>
    <col min="1" max="1" width="15.5703125" style="2" bestFit="1" customWidth="1"/>
    <col min="2" max="2" width="15.85546875" style="2" bestFit="1" customWidth="1"/>
    <col min="3" max="3" width="4.85546875" style="2" bestFit="1" customWidth="1"/>
    <col min="4" max="4" width="13.5703125" style="2" bestFit="1" customWidth="1"/>
    <col min="5" max="5" width="11.85546875" style="2" bestFit="1" customWidth="1"/>
    <col min="6" max="16384" width="9.140625" style="2"/>
  </cols>
  <sheetData>
    <row r="1" spans="1:12" x14ac:dyDescent="0.2">
      <c r="A1" s="6" t="s">
        <v>356</v>
      </c>
      <c r="B1" s="6" t="s">
        <v>350</v>
      </c>
      <c r="C1" s="4" t="s">
        <v>1</v>
      </c>
      <c r="D1" s="4" t="s">
        <v>2</v>
      </c>
      <c r="E1" s="6" t="s">
        <v>246</v>
      </c>
      <c r="F1" s="5"/>
      <c r="G1" s="5"/>
      <c r="H1" s="5"/>
      <c r="I1" s="5"/>
      <c r="J1" s="5"/>
      <c r="K1" s="5"/>
      <c r="L1" s="5"/>
    </row>
    <row r="2" spans="1:12" x14ac:dyDescent="0.2">
      <c r="A2" s="2" t="s">
        <v>3</v>
      </c>
      <c r="B2" s="2" t="s">
        <v>247</v>
      </c>
      <c r="C2" s="3">
        <v>53</v>
      </c>
      <c r="D2" s="3" t="s">
        <v>4</v>
      </c>
      <c r="E2" s="2" t="s">
        <v>9</v>
      </c>
    </row>
    <row r="3" spans="1:12" x14ac:dyDescent="0.2">
      <c r="A3" s="2" t="s">
        <v>5</v>
      </c>
      <c r="B3" s="2" t="s">
        <v>248</v>
      </c>
      <c r="C3" s="3">
        <v>27</v>
      </c>
      <c r="D3" s="3" t="s">
        <v>6</v>
      </c>
      <c r="E3" s="2" t="s">
        <v>9</v>
      </c>
    </row>
    <row r="4" spans="1:12" x14ac:dyDescent="0.2">
      <c r="A4" s="2" t="s">
        <v>7</v>
      </c>
      <c r="B4" s="2" t="s">
        <v>8</v>
      </c>
      <c r="C4" s="3">
        <v>54</v>
      </c>
      <c r="D4" s="3" t="s">
        <v>10</v>
      </c>
      <c r="E4" s="2" t="s">
        <v>9</v>
      </c>
    </row>
    <row r="5" spans="1:12" x14ac:dyDescent="0.2">
      <c r="A5" s="2" t="s">
        <v>11</v>
      </c>
      <c r="B5" s="2" t="s">
        <v>249</v>
      </c>
      <c r="C5" s="3">
        <v>20</v>
      </c>
      <c r="D5" s="3" t="s">
        <v>13</v>
      </c>
      <c r="E5" s="2" t="s">
        <v>12</v>
      </c>
    </row>
    <row r="6" spans="1:12" x14ac:dyDescent="0.2">
      <c r="A6" s="2" t="s">
        <v>14</v>
      </c>
      <c r="B6" s="2" t="s">
        <v>250</v>
      </c>
      <c r="C6" s="3">
        <v>52</v>
      </c>
      <c r="D6" s="3" t="s">
        <v>15</v>
      </c>
      <c r="E6" s="2" t="s">
        <v>12</v>
      </c>
    </row>
    <row r="7" spans="1:12" x14ac:dyDescent="0.2">
      <c r="A7" s="2" t="s">
        <v>16</v>
      </c>
      <c r="B7" s="2" t="s">
        <v>251</v>
      </c>
      <c r="C7" s="3">
        <v>58</v>
      </c>
      <c r="D7" s="3" t="s">
        <v>17</v>
      </c>
      <c r="E7" s="2" t="s">
        <v>9</v>
      </c>
    </row>
    <row r="8" spans="1:12" x14ac:dyDescent="0.2">
      <c r="A8" s="2" t="s">
        <v>18</v>
      </c>
      <c r="B8" s="2" t="s">
        <v>252</v>
      </c>
      <c r="C8" s="3">
        <v>44</v>
      </c>
      <c r="D8" s="3" t="s">
        <v>19</v>
      </c>
      <c r="E8" s="2" t="s">
        <v>12</v>
      </c>
    </row>
    <row r="9" spans="1:12" x14ac:dyDescent="0.2">
      <c r="A9" s="2" t="s">
        <v>20</v>
      </c>
      <c r="B9" s="2" t="s">
        <v>253</v>
      </c>
      <c r="C9" s="3">
        <v>41</v>
      </c>
      <c r="D9" s="3" t="s">
        <v>19</v>
      </c>
      <c r="E9" s="2" t="s">
        <v>12</v>
      </c>
    </row>
    <row r="10" spans="1:12" x14ac:dyDescent="0.2">
      <c r="A10" s="2" t="s">
        <v>21</v>
      </c>
      <c r="B10" s="2" t="s">
        <v>254</v>
      </c>
      <c r="C10" s="3">
        <v>20</v>
      </c>
      <c r="D10" s="3" t="s">
        <v>22</v>
      </c>
      <c r="E10" s="2" t="s">
        <v>9</v>
      </c>
    </row>
    <row r="11" spans="1:12" x14ac:dyDescent="0.2">
      <c r="A11" s="2" t="s">
        <v>23</v>
      </c>
      <c r="B11" s="2" t="s">
        <v>255</v>
      </c>
      <c r="C11" s="3">
        <v>58</v>
      </c>
      <c r="D11" s="3" t="s">
        <v>24</v>
      </c>
      <c r="E11" s="2" t="s">
        <v>9</v>
      </c>
    </row>
    <row r="12" spans="1:12" x14ac:dyDescent="0.2">
      <c r="A12" s="2" t="s">
        <v>25</v>
      </c>
      <c r="B12" s="2" t="s">
        <v>256</v>
      </c>
      <c r="C12" s="3">
        <v>30</v>
      </c>
      <c r="D12" s="3" t="s">
        <v>22</v>
      </c>
      <c r="E12" s="2" t="s">
        <v>12</v>
      </c>
    </row>
    <row r="13" spans="1:12" x14ac:dyDescent="0.2">
      <c r="A13" s="2" t="s">
        <v>26</v>
      </c>
      <c r="B13" s="2" t="s">
        <v>257</v>
      </c>
      <c r="C13" s="3">
        <v>18</v>
      </c>
      <c r="D13" s="3" t="s">
        <v>27</v>
      </c>
      <c r="E13" s="2" t="s">
        <v>9</v>
      </c>
    </row>
    <row r="14" spans="1:12" x14ac:dyDescent="0.2">
      <c r="A14" s="2" t="s">
        <v>28</v>
      </c>
      <c r="B14" s="2" t="s">
        <v>258</v>
      </c>
      <c r="C14" s="3">
        <v>38</v>
      </c>
      <c r="D14" s="3" t="s">
        <v>24</v>
      </c>
      <c r="E14" s="2" t="s">
        <v>9</v>
      </c>
    </row>
    <row r="15" spans="1:12" x14ac:dyDescent="0.2">
      <c r="A15" s="2" t="s">
        <v>29</v>
      </c>
      <c r="B15" s="2" t="s">
        <v>259</v>
      </c>
      <c r="C15" s="3">
        <v>26</v>
      </c>
      <c r="D15" s="3" t="s">
        <v>4</v>
      </c>
      <c r="E15" s="2" t="s">
        <v>9</v>
      </c>
    </row>
    <row r="16" spans="1:12" x14ac:dyDescent="0.2">
      <c r="A16" s="2" t="s">
        <v>30</v>
      </c>
      <c r="B16" s="2" t="s">
        <v>260</v>
      </c>
      <c r="C16" s="3">
        <v>36</v>
      </c>
      <c r="D16" s="3" t="s">
        <v>13</v>
      </c>
      <c r="E16" s="2" t="s">
        <v>12</v>
      </c>
    </row>
    <row r="17" spans="1:5" x14ac:dyDescent="0.2">
      <c r="A17" s="2" t="s">
        <v>31</v>
      </c>
      <c r="B17" s="2" t="s">
        <v>261</v>
      </c>
      <c r="C17" s="3">
        <v>39</v>
      </c>
      <c r="D17" s="3" t="s">
        <v>22</v>
      </c>
      <c r="E17" s="2" t="s">
        <v>12</v>
      </c>
    </row>
    <row r="18" spans="1:5" x14ac:dyDescent="0.2">
      <c r="A18" s="2" t="s">
        <v>32</v>
      </c>
      <c r="B18" s="2" t="s">
        <v>33</v>
      </c>
      <c r="C18" s="3">
        <v>26</v>
      </c>
      <c r="D18" s="3" t="s">
        <v>4</v>
      </c>
      <c r="E18" s="2" t="s">
        <v>12</v>
      </c>
    </row>
    <row r="19" spans="1:5" x14ac:dyDescent="0.2">
      <c r="A19" s="2" t="s">
        <v>230</v>
      </c>
      <c r="B19" s="2" t="s">
        <v>262</v>
      </c>
      <c r="C19" s="3">
        <v>33</v>
      </c>
      <c r="D19" s="3" t="s">
        <v>34</v>
      </c>
      <c r="E19" s="2" t="s">
        <v>12</v>
      </c>
    </row>
    <row r="20" spans="1:5" x14ac:dyDescent="0.2">
      <c r="A20" s="2" t="s">
        <v>35</v>
      </c>
      <c r="B20" s="2" t="s">
        <v>263</v>
      </c>
      <c r="C20" s="3">
        <v>27</v>
      </c>
      <c r="D20" s="3" t="s">
        <v>6</v>
      </c>
      <c r="E20" s="2" t="s">
        <v>12</v>
      </c>
    </row>
    <row r="21" spans="1:5" x14ac:dyDescent="0.2">
      <c r="A21" s="2" t="s">
        <v>36</v>
      </c>
      <c r="B21" s="2" t="s">
        <v>264</v>
      </c>
      <c r="C21" s="3">
        <v>51</v>
      </c>
      <c r="D21" s="3" t="s">
        <v>37</v>
      </c>
      <c r="E21" s="2" t="s">
        <v>12</v>
      </c>
    </row>
    <row r="22" spans="1:5" x14ac:dyDescent="0.2">
      <c r="A22" s="2" t="s">
        <v>38</v>
      </c>
      <c r="B22" s="2" t="s">
        <v>84</v>
      </c>
      <c r="C22" s="3">
        <v>54</v>
      </c>
      <c r="D22" s="3" t="s">
        <v>13</v>
      </c>
      <c r="E22" s="2" t="s">
        <v>9</v>
      </c>
    </row>
    <row r="23" spans="1:5" x14ac:dyDescent="0.2">
      <c r="A23" s="2" t="s">
        <v>239</v>
      </c>
      <c r="B23" s="2" t="s">
        <v>265</v>
      </c>
      <c r="C23" s="3">
        <v>21</v>
      </c>
      <c r="D23" s="3" t="s">
        <v>4</v>
      </c>
      <c r="E23" s="2" t="s">
        <v>9</v>
      </c>
    </row>
    <row r="24" spans="1:5" x14ac:dyDescent="0.2">
      <c r="A24" s="2" t="s">
        <v>39</v>
      </c>
      <c r="B24" s="2" t="s">
        <v>266</v>
      </c>
      <c r="C24" s="3">
        <v>54</v>
      </c>
      <c r="D24" s="3" t="s">
        <v>27</v>
      </c>
      <c r="E24" s="2" t="s">
        <v>9</v>
      </c>
    </row>
    <row r="25" spans="1:5" x14ac:dyDescent="0.2">
      <c r="A25" s="2" t="s">
        <v>40</v>
      </c>
      <c r="B25" s="2" t="s">
        <v>267</v>
      </c>
      <c r="C25" s="3">
        <v>35</v>
      </c>
      <c r="D25" s="3" t="s">
        <v>19</v>
      </c>
      <c r="E25" s="2" t="s">
        <v>12</v>
      </c>
    </row>
    <row r="26" spans="1:5" x14ac:dyDescent="0.2">
      <c r="A26" s="2" t="s">
        <v>41</v>
      </c>
      <c r="B26" s="2" t="s">
        <v>268</v>
      </c>
      <c r="C26" s="3">
        <v>50</v>
      </c>
      <c r="D26" s="3" t="s">
        <v>10</v>
      </c>
      <c r="E26" s="2" t="s">
        <v>9</v>
      </c>
    </row>
    <row r="27" spans="1:5" x14ac:dyDescent="0.2">
      <c r="A27" s="2" t="s">
        <v>42</v>
      </c>
      <c r="B27" s="2" t="s">
        <v>43</v>
      </c>
      <c r="C27" s="3">
        <v>48</v>
      </c>
      <c r="D27" s="3" t="s">
        <v>13</v>
      </c>
      <c r="E27" s="2" t="s">
        <v>9</v>
      </c>
    </row>
    <row r="28" spans="1:5" x14ac:dyDescent="0.2">
      <c r="A28" s="2" t="s">
        <v>44</v>
      </c>
      <c r="B28" s="2" t="s">
        <v>269</v>
      </c>
      <c r="C28" s="3">
        <v>31</v>
      </c>
      <c r="D28" s="3" t="s">
        <v>6</v>
      </c>
      <c r="E28" s="2" t="s">
        <v>9</v>
      </c>
    </row>
    <row r="29" spans="1:5" x14ac:dyDescent="0.2">
      <c r="A29" s="2" t="s">
        <v>45</v>
      </c>
      <c r="B29" s="2" t="s">
        <v>46</v>
      </c>
      <c r="C29" s="3">
        <v>26</v>
      </c>
      <c r="D29" s="3" t="s">
        <v>10</v>
      </c>
      <c r="E29" s="2" t="s">
        <v>9</v>
      </c>
    </row>
    <row r="30" spans="1:5" x14ac:dyDescent="0.2">
      <c r="A30" s="2" t="s">
        <v>47</v>
      </c>
      <c r="B30" s="2" t="s">
        <v>270</v>
      </c>
      <c r="C30" s="3">
        <v>51</v>
      </c>
      <c r="D30" s="3" t="s">
        <v>13</v>
      </c>
      <c r="E30" s="2" t="s">
        <v>9</v>
      </c>
    </row>
    <row r="31" spans="1:5" x14ac:dyDescent="0.2">
      <c r="A31" s="2" t="s">
        <v>48</v>
      </c>
      <c r="B31" s="2" t="s">
        <v>49</v>
      </c>
      <c r="C31" s="3">
        <v>59</v>
      </c>
      <c r="D31" s="3" t="s">
        <v>351</v>
      </c>
      <c r="E31" s="2" t="s">
        <v>12</v>
      </c>
    </row>
    <row r="32" spans="1:5" x14ac:dyDescent="0.2">
      <c r="A32" s="2" t="s">
        <v>50</v>
      </c>
      <c r="B32" s="2" t="s">
        <v>271</v>
      </c>
      <c r="C32" s="3">
        <v>19</v>
      </c>
      <c r="D32" s="3" t="s">
        <v>19</v>
      </c>
      <c r="E32" s="2" t="s">
        <v>12</v>
      </c>
    </row>
    <row r="33" spans="1:5" x14ac:dyDescent="0.2">
      <c r="A33" s="2" t="s">
        <v>51</v>
      </c>
      <c r="B33" s="2" t="s">
        <v>52</v>
      </c>
      <c r="C33" s="3">
        <v>47</v>
      </c>
      <c r="D33" s="3" t="s">
        <v>22</v>
      </c>
      <c r="E33" s="2" t="s">
        <v>9</v>
      </c>
    </row>
    <row r="34" spans="1:5" x14ac:dyDescent="0.2">
      <c r="A34" s="2" t="s">
        <v>53</v>
      </c>
      <c r="B34" s="2" t="s">
        <v>272</v>
      </c>
      <c r="C34" s="3">
        <v>50</v>
      </c>
      <c r="D34" s="3" t="s">
        <v>10</v>
      </c>
      <c r="E34" s="2" t="s">
        <v>9</v>
      </c>
    </row>
    <row r="35" spans="1:5" x14ac:dyDescent="0.2">
      <c r="A35" s="2" t="s">
        <v>54</v>
      </c>
      <c r="B35" s="2" t="s">
        <v>273</v>
      </c>
      <c r="C35" s="3">
        <v>32</v>
      </c>
      <c r="D35" s="3" t="s">
        <v>19</v>
      </c>
      <c r="E35" s="2" t="s">
        <v>9</v>
      </c>
    </row>
    <row r="36" spans="1:5" x14ac:dyDescent="0.2">
      <c r="A36" s="2" t="s">
        <v>55</v>
      </c>
      <c r="B36" s="2" t="s">
        <v>274</v>
      </c>
      <c r="C36" s="3">
        <v>40</v>
      </c>
      <c r="D36" s="3" t="s">
        <v>22</v>
      </c>
      <c r="E36" s="2" t="s">
        <v>9</v>
      </c>
    </row>
    <row r="37" spans="1:5" x14ac:dyDescent="0.2">
      <c r="A37" s="2" t="s">
        <v>243</v>
      </c>
      <c r="B37" s="2" t="s">
        <v>275</v>
      </c>
      <c r="C37" s="3">
        <v>34</v>
      </c>
      <c r="D37" s="3" t="s">
        <v>56</v>
      </c>
      <c r="E37" s="2" t="s">
        <v>9</v>
      </c>
    </row>
    <row r="38" spans="1:5" x14ac:dyDescent="0.2">
      <c r="A38" s="2" t="s">
        <v>57</v>
      </c>
      <c r="B38" s="2" t="s">
        <v>58</v>
      </c>
      <c r="C38" s="3">
        <v>57</v>
      </c>
      <c r="D38" s="3" t="s">
        <v>6</v>
      </c>
      <c r="E38" s="2" t="s">
        <v>9</v>
      </c>
    </row>
    <row r="39" spans="1:5" x14ac:dyDescent="0.2">
      <c r="A39" s="2" t="s">
        <v>59</v>
      </c>
      <c r="B39" s="2" t="s">
        <v>60</v>
      </c>
      <c r="C39" s="3">
        <v>22</v>
      </c>
      <c r="D39" s="3" t="s">
        <v>61</v>
      </c>
      <c r="E39" s="2" t="s">
        <v>12</v>
      </c>
    </row>
    <row r="40" spans="1:5" x14ac:dyDescent="0.2">
      <c r="A40" s="2" t="s">
        <v>62</v>
      </c>
      <c r="B40" s="2" t="s">
        <v>276</v>
      </c>
      <c r="C40" s="3">
        <v>59</v>
      </c>
      <c r="D40" s="3" t="s">
        <v>4</v>
      </c>
      <c r="E40" s="2" t="s">
        <v>9</v>
      </c>
    </row>
    <row r="41" spans="1:5" x14ac:dyDescent="0.2">
      <c r="A41" s="2" t="s">
        <v>63</v>
      </c>
      <c r="B41" s="2" t="s">
        <v>64</v>
      </c>
      <c r="C41" s="3">
        <v>42</v>
      </c>
      <c r="D41" s="3" t="s">
        <v>15</v>
      </c>
      <c r="E41" s="2" t="s">
        <v>12</v>
      </c>
    </row>
    <row r="42" spans="1:5" x14ac:dyDescent="0.2">
      <c r="A42" s="2" t="s">
        <v>65</v>
      </c>
      <c r="B42" s="2" t="s">
        <v>66</v>
      </c>
      <c r="C42" s="3">
        <v>52</v>
      </c>
      <c r="D42" s="3" t="s">
        <v>34</v>
      </c>
      <c r="E42" s="2" t="s">
        <v>9</v>
      </c>
    </row>
    <row r="43" spans="1:5" x14ac:dyDescent="0.2">
      <c r="A43" s="2" t="s">
        <v>67</v>
      </c>
      <c r="B43" s="2" t="s">
        <v>68</v>
      </c>
      <c r="C43" s="3">
        <v>51</v>
      </c>
      <c r="D43" s="3" t="s">
        <v>6</v>
      </c>
      <c r="E43" s="2" t="s">
        <v>9</v>
      </c>
    </row>
    <row r="44" spans="1:5" x14ac:dyDescent="0.2">
      <c r="A44" s="2" t="s">
        <v>69</v>
      </c>
      <c r="B44" s="2" t="s">
        <v>277</v>
      </c>
      <c r="C44" s="3">
        <v>53</v>
      </c>
      <c r="D44" s="3" t="s">
        <v>24</v>
      </c>
      <c r="E44" s="2" t="s">
        <v>9</v>
      </c>
    </row>
    <row r="45" spans="1:5" x14ac:dyDescent="0.2">
      <c r="A45" s="2" t="s">
        <v>70</v>
      </c>
      <c r="B45" s="2" t="s">
        <v>278</v>
      </c>
      <c r="C45" s="3">
        <v>19</v>
      </c>
      <c r="D45" s="3" t="s">
        <v>27</v>
      </c>
      <c r="E45" s="2" t="s">
        <v>9</v>
      </c>
    </row>
    <row r="46" spans="1:5" x14ac:dyDescent="0.2">
      <c r="A46" s="2" t="s">
        <v>71</v>
      </c>
      <c r="B46" s="2" t="s">
        <v>279</v>
      </c>
      <c r="C46" s="3">
        <v>39</v>
      </c>
      <c r="D46" s="3" t="s">
        <v>37</v>
      </c>
      <c r="E46" s="2" t="s">
        <v>9</v>
      </c>
    </row>
    <row r="47" spans="1:5" x14ac:dyDescent="0.2">
      <c r="A47" s="2" t="s">
        <v>72</v>
      </c>
      <c r="B47" s="2" t="s">
        <v>280</v>
      </c>
      <c r="C47" s="3">
        <v>44</v>
      </c>
      <c r="D47" s="3" t="s">
        <v>73</v>
      </c>
      <c r="E47" s="2" t="s">
        <v>9</v>
      </c>
    </row>
    <row r="48" spans="1:5" x14ac:dyDescent="0.2">
      <c r="A48" s="2" t="s">
        <v>74</v>
      </c>
      <c r="B48" s="2" t="s">
        <v>281</v>
      </c>
      <c r="C48" s="3">
        <v>46</v>
      </c>
      <c r="D48" s="3" t="s">
        <v>24</v>
      </c>
      <c r="E48" s="2" t="s">
        <v>12</v>
      </c>
    </row>
    <row r="49" spans="1:5" x14ac:dyDescent="0.2">
      <c r="A49" s="2" t="s">
        <v>75</v>
      </c>
      <c r="B49" s="2" t="s">
        <v>282</v>
      </c>
      <c r="C49" s="3">
        <v>20</v>
      </c>
      <c r="D49" s="3" t="s">
        <v>6</v>
      </c>
      <c r="E49" s="2" t="s">
        <v>12</v>
      </c>
    </row>
    <row r="50" spans="1:5" x14ac:dyDescent="0.2">
      <c r="A50" s="2" t="s">
        <v>76</v>
      </c>
      <c r="B50" s="2" t="s">
        <v>77</v>
      </c>
      <c r="C50" s="3">
        <v>40</v>
      </c>
      <c r="D50" s="3" t="s">
        <v>351</v>
      </c>
      <c r="E50" s="2" t="s">
        <v>12</v>
      </c>
    </row>
    <row r="51" spans="1:5" x14ac:dyDescent="0.2">
      <c r="A51" s="2" t="s">
        <v>78</v>
      </c>
      <c r="B51" s="2" t="s">
        <v>283</v>
      </c>
      <c r="C51" s="3">
        <v>31</v>
      </c>
      <c r="D51" s="3" t="s">
        <v>22</v>
      </c>
      <c r="E51" s="2" t="s">
        <v>9</v>
      </c>
    </row>
    <row r="52" spans="1:5" x14ac:dyDescent="0.2">
      <c r="A52" s="2" t="s">
        <v>79</v>
      </c>
      <c r="B52" s="2" t="s">
        <v>284</v>
      </c>
      <c r="C52" s="3">
        <v>26</v>
      </c>
      <c r="D52" s="3" t="s">
        <v>56</v>
      </c>
      <c r="E52" s="2" t="s">
        <v>12</v>
      </c>
    </row>
    <row r="53" spans="1:5" x14ac:dyDescent="0.2">
      <c r="A53" s="2" t="s">
        <v>240</v>
      </c>
      <c r="B53" s="2" t="s">
        <v>80</v>
      </c>
      <c r="C53" s="3">
        <v>34</v>
      </c>
      <c r="D53" s="3" t="s">
        <v>351</v>
      </c>
      <c r="E53" s="2" t="s">
        <v>9</v>
      </c>
    </row>
    <row r="54" spans="1:5" x14ac:dyDescent="0.2">
      <c r="A54" s="2" t="s">
        <v>81</v>
      </c>
      <c r="B54" s="2" t="s">
        <v>285</v>
      </c>
      <c r="C54" s="3">
        <v>39</v>
      </c>
      <c r="D54" s="3" t="s">
        <v>27</v>
      </c>
      <c r="E54" s="2" t="s">
        <v>9</v>
      </c>
    </row>
    <row r="55" spans="1:5" x14ac:dyDescent="0.2">
      <c r="A55" s="2" t="s">
        <v>236</v>
      </c>
      <c r="B55" s="2" t="s">
        <v>82</v>
      </c>
      <c r="C55" s="3">
        <v>46</v>
      </c>
      <c r="D55" s="3" t="s">
        <v>6</v>
      </c>
      <c r="E55" s="2" t="s">
        <v>12</v>
      </c>
    </row>
    <row r="56" spans="1:5" x14ac:dyDescent="0.2">
      <c r="A56" s="2" t="s">
        <v>83</v>
      </c>
      <c r="B56" s="2" t="s">
        <v>84</v>
      </c>
      <c r="C56" s="3">
        <v>57</v>
      </c>
      <c r="D56" s="3" t="s">
        <v>61</v>
      </c>
      <c r="E56" s="2" t="s">
        <v>9</v>
      </c>
    </row>
    <row r="57" spans="1:5" x14ac:dyDescent="0.2">
      <c r="A57" s="2" t="s">
        <v>85</v>
      </c>
      <c r="B57" s="2" t="s">
        <v>257</v>
      </c>
      <c r="C57" s="3">
        <v>50</v>
      </c>
      <c r="D57" s="3" t="s">
        <v>6</v>
      </c>
      <c r="E57" s="2" t="s">
        <v>9</v>
      </c>
    </row>
    <row r="58" spans="1:5" x14ac:dyDescent="0.2">
      <c r="A58" s="2" t="s">
        <v>86</v>
      </c>
      <c r="B58" s="2" t="s">
        <v>286</v>
      </c>
      <c r="C58" s="3">
        <v>49</v>
      </c>
      <c r="D58" s="3" t="s">
        <v>56</v>
      </c>
      <c r="E58" s="2" t="s">
        <v>9</v>
      </c>
    </row>
    <row r="59" spans="1:5" x14ac:dyDescent="0.2">
      <c r="A59" s="2" t="s">
        <v>244</v>
      </c>
      <c r="B59" s="2" t="s">
        <v>287</v>
      </c>
      <c r="C59" s="3">
        <v>23</v>
      </c>
      <c r="D59" s="3" t="s">
        <v>73</v>
      </c>
      <c r="E59" s="2" t="s">
        <v>12</v>
      </c>
    </row>
    <row r="60" spans="1:5" x14ac:dyDescent="0.2">
      <c r="A60" s="2" t="s">
        <v>237</v>
      </c>
      <c r="B60" s="2" t="s">
        <v>288</v>
      </c>
      <c r="C60" s="3">
        <v>29</v>
      </c>
      <c r="D60" s="3" t="s">
        <v>13</v>
      </c>
      <c r="E60" s="2" t="s">
        <v>9</v>
      </c>
    </row>
    <row r="61" spans="1:5" x14ac:dyDescent="0.2">
      <c r="A61" s="2" t="s">
        <v>87</v>
      </c>
      <c r="B61" s="2" t="s">
        <v>289</v>
      </c>
      <c r="C61" s="3">
        <v>58</v>
      </c>
      <c r="D61" s="3" t="s">
        <v>27</v>
      </c>
      <c r="E61" s="2" t="s">
        <v>9</v>
      </c>
    </row>
    <row r="62" spans="1:5" x14ac:dyDescent="0.2">
      <c r="A62" s="2" t="s">
        <v>88</v>
      </c>
      <c r="B62" s="2" t="s">
        <v>290</v>
      </c>
      <c r="C62" s="3">
        <v>59</v>
      </c>
      <c r="D62" s="3" t="s">
        <v>34</v>
      </c>
      <c r="E62" s="2" t="s">
        <v>9</v>
      </c>
    </row>
    <row r="63" spans="1:5" x14ac:dyDescent="0.2">
      <c r="A63" s="2" t="s">
        <v>89</v>
      </c>
      <c r="B63" s="2" t="s">
        <v>291</v>
      </c>
      <c r="C63" s="3">
        <v>22</v>
      </c>
      <c r="D63" s="3" t="s">
        <v>4</v>
      </c>
      <c r="E63" s="2" t="s">
        <v>9</v>
      </c>
    </row>
    <row r="64" spans="1:5" x14ac:dyDescent="0.2">
      <c r="A64" s="2" t="s">
        <v>90</v>
      </c>
      <c r="B64" s="2" t="s">
        <v>292</v>
      </c>
      <c r="C64" s="3">
        <v>25</v>
      </c>
      <c r="D64" s="3" t="s">
        <v>56</v>
      </c>
      <c r="E64" s="2" t="s">
        <v>9</v>
      </c>
    </row>
    <row r="65" spans="1:5" x14ac:dyDescent="0.2">
      <c r="A65" s="2" t="s">
        <v>91</v>
      </c>
      <c r="B65" s="2" t="s">
        <v>293</v>
      </c>
      <c r="C65" s="3">
        <v>25</v>
      </c>
      <c r="D65" s="3" t="s">
        <v>37</v>
      </c>
      <c r="E65" s="2" t="s">
        <v>12</v>
      </c>
    </row>
    <row r="66" spans="1:5" x14ac:dyDescent="0.2">
      <c r="A66" s="2" t="s">
        <v>92</v>
      </c>
      <c r="B66" s="2" t="s">
        <v>294</v>
      </c>
      <c r="C66" s="3">
        <v>26</v>
      </c>
      <c r="D66" s="3" t="s">
        <v>19</v>
      </c>
      <c r="E66" s="2" t="s">
        <v>9</v>
      </c>
    </row>
    <row r="67" spans="1:5" x14ac:dyDescent="0.2">
      <c r="A67" s="2" t="s">
        <v>93</v>
      </c>
      <c r="B67" s="2" t="s">
        <v>295</v>
      </c>
      <c r="C67" s="3">
        <v>40</v>
      </c>
      <c r="D67" s="3" t="s">
        <v>17</v>
      </c>
      <c r="E67" s="2" t="s">
        <v>12</v>
      </c>
    </row>
    <row r="68" spans="1:5" x14ac:dyDescent="0.2">
      <c r="A68" s="2" t="s">
        <v>94</v>
      </c>
      <c r="B68" s="2" t="s">
        <v>296</v>
      </c>
      <c r="C68" s="3">
        <v>39</v>
      </c>
      <c r="D68" s="3" t="s">
        <v>10</v>
      </c>
      <c r="E68" s="2" t="s">
        <v>9</v>
      </c>
    </row>
    <row r="69" spans="1:5" x14ac:dyDescent="0.2">
      <c r="A69" s="2" t="s">
        <v>95</v>
      </c>
      <c r="B69" s="2" t="s">
        <v>96</v>
      </c>
      <c r="C69" s="3">
        <v>23</v>
      </c>
      <c r="D69" s="3" t="s">
        <v>27</v>
      </c>
      <c r="E69" s="2" t="s">
        <v>12</v>
      </c>
    </row>
    <row r="70" spans="1:5" x14ac:dyDescent="0.2">
      <c r="A70" s="2" t="s">
        <v>97</v>
      </c>
      <c r="B70" s="2" t="s">
        <v>297</v>
      </c>
      <c r="C70" s="3">
        <v>49</v>
      </c>
      <c r="D70" s="3" t="s">
        <v>73</v>
      </c>
      <c r="E70" s="2" t="s">
        <v>9</v>
      </c>
    </row>
    <row r="71" spans="1:5" x14ac:dyDescent="0.2">
      <c r="A71" s="2" t="s">
        <v>245</v>
      </c>
      <c r="B71" s="2" t="s">
        <v>298</v>
      </c>
      <c r="C71" s="3">
        <v>59</v>
      </c>
      <c r="D71" s="3" t="s">
        <v>10</v>
      </c>
      <c r="E71" s="2" t="s">
        <v>9</v>
      </c>
    </row>
    <row r="72" spans="1:5" x14ac:dyDescent="0.2">
      <c r="A72" s="2" t="s">
        <v>98</v>
      </c>
      <c r="B72" s="2" t="s">
        <v>299</v>
      </c>
      <c r="C72" s="3">
        <v>50</v>
      </c>
      <c r="D72" s="3" t="s">
        <v>6</v>
      </c>
      <c r="E72" s="2" t="s">
        <v>9</v>
      </c>
    </row>
    <row r="73" spans="1:5" x14ac:dyDescent="0.2">
      <c r="A73" s="2" t="s">
        <v>99</v>
      </c>
      <c r="B73" s="2" t="s">
        <v>300</v>
      </c>
      <c r="C73" s="3">
        <v>38</v>
      </c>
      <c r="D73" s="3" t="s">
        <v>56</v>
      </c>
      <c r="E73" s="2" t="s">
        <v>12</v>
      </c>
    </row>
    <row r="74" spans="1:5" x14ac:dyDescent="0.2">
      <c r="A74" s="2" t="s">
        <v>100</v>
      </c>
      <c r="B74" s="2" t="s">
        <v>250</v>
      </c>
      <c r="C74" s="3">
        <v>50</v>
      </c>
      <c r="D74" s="3" t="s">
        <v>13</v>
      </c>
      <c r="E74" s="2" t="s">
        <v>12</v>
      </c>
    </row>
    <row r="75" spans="1:5" x14ac:dyDescent="0.2">
      <c r="A75" s="2" t="s">
        <v>242</v>
      </c>
      <c r="B75" s="2" t="s">
        <v>258</v>
      </c>
      <c r="C75" s="3">
        <v>27</v>
      </c>
      <c r="D75" s="3" t="s">
        <v>10</v>
      </c>
      <c r="E75" s="2" t="s">
        <v>9</v>
      </c>
    </row>
    <row r="76" spans="1:5" x14ac:dyDescent="0.2">
      <c r="A76" s="2" t="s">
        <v>232</v>
      </c>
      <c r="B76" s="2" t="s">
        <v>101</v>
      </c>
      <c r="C76" s="3">
        <v>30</v>
      </c>
      <c r="D76" s="3" t="s">
        <v>61</v>
      </c>
      <c r="E76" s="2" t="s">
        <v>12</v>
      </c>
    </row>
    <row r="77" spans="1:5" x14ac:dyDescent="0.2">
      <c r="A77" s="2" t="s">
        <v>102</v>
      </c>
      <c r="B77" s="2" t="s">
        <v>297</v>
      </c>
      <c r="C77" s="3">
        <v>30</v>
      </c>
      <c r="D77" s="3" t="s">
        <v>56</v>
      </c>
      <c r="E77" s="2" t="s">
        <v>9</v>
      </c>
    </row>
    <row r="78" spans="1:5" x14ac:dyDescent="0.2">
      <c r="A78" s="2" t="s">
        <v>103</v>
      </c>
      <c r="B78" s="2" t="s">
        <v>104</v>
      </c>
      <c r="C78" s="3">
        <v>46</v>
      </c>
      <c r="D78" s="3" t="s">
        <v>27</v>
      </c>
      <c r="E78" s="2" t="s">
        <v>12</v>
      </c>
    </row>
    <row r="79" spans="1:5" x14ac:dyDescent="0.2">
      <c r="A79" s="2" t="s">
        <v>105</v>
      </c>
      <c r="B79" s="2" t="s">
        <v>301</v>
      </c>
      <c r="C79" s="3">
        <v>40</v>
      </c>
      <c r="D79" s="3" t="s">
        <v>73</v>
      </c>
      <c r="E79" s="2" t="s">
        <v>12</v>
      </c>
    </row>
    <row r="80" spans="1:5" x14ac:dyDescent="0.2">
      <c r="A80" s="2" t="s">
        <v>106</v>
      </c>
      <c r="B80" s="2" t="s">
        <v>302</v>
      </c>
      <c r="C80" s="3">
        <v>34</v>
      </c>
      <c r="D80" s="3" t="s">
        <v>27</v>
      </c>
      <c r="E80" s="2" t="s">
        <v>9</v>
      </c>
    </row>
    <row r="81" spans="1:5" x14ac:dyDescent="0.2">
      <c r="A81" s="2" t="s">
        <v>107</v>
      </c>
      <c r="B81" s="2" t="s">
        <v>303</v>
      </c>
      <c r="C81" s="3">
        <v>38</v>
      </c>
      <c r="D81" s="3" t="s">
        <v>10</v>
      </c>
      <c r="E81" s="2" t="s">
        <v>9</v>
      </c>
    </row>
    <row r="82" spans="1:5" x14ac:dyDescent="0.2">
      <c r="A82" s="2" t="s">
        <v>108</v>
      </c>
      <c r="B82" s="2" t="s">
        <v>304</v>
      </c>
      <c r="C82" s="3">
        <v>23</v>
      </c>
      <c r="D82" s="3" t="s">
        <v>73</v>
      </c>
      <c r="E82" s="2" t="s">
        <v>12</v>
      </c>
    </row>
    <row r="83" spans="1:5" x14ac:dyDescent="0.2">
      <c r="A83" s="2" t="s">
        <v>109</v>
      </c>
      <c r="B83" s="2" t="s">
        <v>305</v>
      </c>
      <c r="C83" s="3">
        <v>30</v>
      </c>
      <c r="D83" s="3" t="s">
        <v>24</v>
      </c>
      <c r="E83" s="2" t="s">
        <v>12</v>
      </c>
    </row>
    <row r="84" spans="1:5" x14ac:dyDescent="0.2">
      <c r="A84" s="2" t="s">
        <v>110</v>
      </c>
      <c r="B84" s="2" t="s">
        <v>111</v>
      </c>
      <c r="C84" s="3">
        <v>53</v>
      </c>
      <c r="D84" s="3" t="s">
        <v>351</v>
      </c>
      <c r="E84" s="2" t="s">
        <v>12</v>
      </c>
    </row>
    <row r="85" spans="1:5" x14ac:dyDescent="0.2">
      <c r="A85" s="2" t="s">
        <v>235</v>
      </c>
      <c r="B85" s="2" t="s">
        <v>306</v>
      </c>
      <c r="C85" s="3">
        <v>27</v>
      </c>
      <c r="D85" s="3" t="s">
        <v>56</v>
      </c>
      <c r="E85" s="2" t="s">
        <v>9</v>
      </c>
    </row>
    <row r="86" spans="1:5" x14ac:dyDescent="0.2">
      <c r="A86" s="2" t="s">
        <v>112</v>
      </c>
      <c r="B86" s="2" t="s">
        <v>307</v>
      </c>
      <c r="C86" s="3">
        <v>22</v>
      </c>
      <c r="D86" s="3" t="s">
        <v>27</v>
      </c>
      <c r="E86" s="2" t="s">
        <v>9</v>
      </c>
    </row>
    <row r="87" spans="1:5" x14ac:dyDescent="0.2">
      <c r="A87" s="2" t="s">
        <v>113</v>
      </c>
      <c r="B87" s="2" t="s">
        <v>308</v>
      </c>
      <c r="C87" s="3">
        <v>34</v>
      </c>
      <c r="D87" s="3" t="s">
        <v>27</v>
      </c>
      <c r="E87" s="2" t="s">
        <v>12</v>
      </c>
    </row>
    <row r="88" spans="1:5" x14ac:dyDescent="0.2">
      <c r="A88" s="2" t="s">
        <v>114</v>
      </c>
      <c r="B88" s="2" t="s">
        <v>309</v>
      </c>
      <c r="C88" s="3">
        <v>59</v>
      </c>
      <c r="D88" s="3" t="s">
        <v>19</v>
      </c>
      <c r="E88" s="2" t="s">
        <v>12</v>
      </c>
    </row>
    <row r="89" spans="1:5" x14ac:dyDescent="0.2">
      <c r="A89" s="2" t="s">
        <v>115</v>
      </c>
      <c r="B89" s="2" t="s">
        <v>116</v>
      </c>
      <c r="C89" s="3">
        <v>34</v>
      </c>
      <c r="D89" s="3" t="s">
        <v>34</v>
      </c>
      <c r="E89" s="2" t="s">
        <v>9</v>
      </c>
    </row>
    <row r="90" spans="1:5" x14ac:dyDescent="0.2">
      <c r="A90" s="2" t="s">
        <v>117</v>
      </c>
      <c r="B90" s="2" t="s">
        <v>310</v>
      </c>
      <c r="C90" s="3">
        <v>42</v>
      </c>
      <c r="D90" s="3" t="s">
        <v>34</v>
      </c>
      <c r="E90" s="2" t="s">
        <v>12</v>
      </c>
    </row>
    <row r="91" spans="1:5" x14ac:dyDescent="0.2">
      <c r="A91" s="2" t="s">
        <v>241</v>
      </c>
      <c r="B91" s="2" t="s">
        <v>311</v>
      </c>
      <c r="C91" s="3">
        <v>52</v>
      </c>
      <c r="D91" s="3" t="s">
        <v>17</v>
      </c>
      <c r="E91" s="2" t="s">
        <v>9</v>
      </c>
    </row>
    <row r="92" spans="1:5" x14ac:dyDescent="0.2">
      <c r="A92" s="2" t="s">
        <v>118</v>
      </c>
      <c r="B92" s="2" t="s">
        <v>312</v>
      </c>
      <c r="C92" s="3">
        <v>47</v>
      </c>
      <c r="D92" s="3" t="s">
        <v>73</v>
      </c>
      <c r="E92" s="2" t="s">
        <v>9</v>
      </c>
    </row>
    <row r="93" spans="1:5" x14ac:dyDescent="0.2">
      <c r="A93" s="2" t="s">
        <v>119</v>
      </c>
      <c r="B93" s="2" t="s">
        <v>313</v>
      </c>
      <c r="C93" s="3">
        <v>20</v>
      </c>
      <c r="D93" s="3" t="s">
        <v>34</v>
      </c>
      <c r="E93" s="2" t="s">
        <v>9</v>
      </c>
    </row>
    <row r="94" spans="1:5" x14ac:dyDescent="0.2">
      <c r="A94" s="2" t="s">
        <v>120</v>
      </c>
      <c r="B94" s="2" t="s">
        <v>314</v>
      </c>
      <c r="C94" s="3">
        <v>20</v>
      </c>
      <c r="D94" s="3" t="s">
        <v>6</v>
      </c>
      <c r="E94" s="2" t="s">
        <v>12</v>
      </c>
    </row>
    <row r="95" spans="1:5" x14ac:dyDescent="0.2">
      <c r="A95" s="2" t="s">
        <v>121</v>
      </c>
      <c r="B95" s="2" t="s">
        <v>315</v>
      </c>
      <c r="C95" s="3">
        <v>39</v>
      </c>
      <c r="D95" s="3" t="s">
        <v>13</v>
      </c>
      <c r="E95" s="2" t="s">
        <v>12</v>
      </c>
    </row>
    <row r="96" spans="1:5" x14ac:dyDescent="0.2">
      <c r="A96" s="2" t="s">
        <v>122</v>
      </c>
      <c r="B96" s="2" t="s">
        <v>316</v>
      </c>
      <c r="C96" s="3">
        <v>51</v>
      </c>
      <c r="D96" s="3" t="s">
        <v>15</v>
      </c>
      <c r="E96" s="2" t="s">
        <v>12</v>
      </c>
    </row>
    <row r="97" spans="1:5" x14ac:dyDescent="0.2">
      <c r="A97" s="2" t="s">
        <v>123</v>
      </c>
      <c r="B97" s="2" t="s">
        <v>317</v>
      </c>
      <c r="C97" s="3">
        <v>53</v>
      </c>
      <c r="D97" s="3" t="s">
        <v>73</v>
      </c>
      <c r="E97" s="2" t="s">
        <v>12</v>
      </c>
    </row>
    <row r="98" spans="1:5" x14ac:dyDescent="0.2">
      <c r="A98" s="2" t="s">
        <v>124</v>
      </c>
      <c r="B98" s="2" t="s">
        <v>33</v>
      </c>
      <c r="C98" s="3">
        <v>44</v>
      </c>
      <c r="D98" s="3" t="s">
        <v>17</v>
      </c>
      <c r="E98" s="2" t="s">
        <v>12</v>
      </c>
    </row>
    <row r="99" spans="1:5" x14ac:dyDescent="0.2">
      <c r="A99" s="2" t="s">
        <v>125</v>
      </c>
      <c r="B99" s="2" t="s">
        <v>318</v>
      </c>
      <c r="C99" s="3">
        <v>45</v>
      </c>
      <c r="D99" s="3" t="s">
        <v>351</v>
      </c>
      <c r="E99" s="2" t="s">
        <v>9</v>
      </c>
    </row>
    <row r="100" spans="1:5" x14ac:dyDescent="0.2">
      <c r="A100" s="2" t="s">
        <v>126</v>
      </c>
      <c r="B100" s="2" t="s">
        <v>319</v>
      </c>
      <c r="C100" s="3">
        <v>39</v>
      </c>
      <c r="D100" s="3" t="s">
        <v>61</v>
      </c>
      <c r="E100" s="2" t="s">
        <v>12</v>
      </c>
    </row>
    <row r="101" spans="1:5" x14ac:dyDescent="0.2">
      <c r="A101" s="2" t="s">
        <v>238</v>
      </c>
      <c r="B101" s="2" t="s">
        <v>320</v>
      </c>
      <c r="C101" s="3">
        <v>32</v>
      </c>
      <c r="D101" s="3" t="s">
        <v>61</v>
      </c>
      <c r="E101" s="2" t="s">
        <v>9</v>
      </c>
    </row>
    <row r="102" spans="1:5" x14ac:dyDescent="0.2">
      <c r="A102" s="2" t="s">
        <v>127</v>
      </c>
      <c r="B102" s="2" t="s">
        <v>321</v>
      </c>
      <c r="C102" s="3">
        <v>41</v>
      </c>
      <c r="D102" s="3" t="s">
        <v>13</v>
      </c>
      <c r="E102" s="2" t="s">
        <v>9</v>
      </c>
    </row>
    <row r="103" spans="1:5" x14ac:dyDescent="0.2">
      <c r="A103" s="2" t="s">
        <v>128</v>
      </c>
      <c r="B103" s="2" t="s">
        <v>322</v>
      </c>
      <c r="C103" s="3">
        <v>54</v>
      </c>
      <c r="D103" s="3" t="s">
        <v>34</v>
      </c>
      <c r="E103" s="2" t="s">
        <v>12</v>
      </c>
    </row>
    <row r="104" spans="1:5" x14ac:dyDescent="0.2">
      <c r="A104" s="2" t="s">
        <v>16</v>
      </c>
      <c r="B104" s="2" t="s">
        <v>251</v>
      </c>
      <c r="C104" s="3">
        <v>58</v>
      </c>
      <c r="D104" s="3" t="s">
        <v>17</v>
      </c>
      <c r="E104" s="2" t="s">
        <v>9</v>
      </c>
    </row>
    <row r="105" spans="1:5" x14ac:dyDescent="0.2">
      <c r="A105" s="2" t="s">
        <v>245</v>
      </c>
      <c r="B105" s="2" t="s">
        <v>298</v>
      </c>
      <c r="C105" s="3">
        <v>59</v>
      </c>
      <c r="D105" s="3" t="s">
        <v>10</v>
      </c>
      <c r="E105" s="2" t="s">
        <v>9</v>
      </c>
    </row>
    <row r="106" spans="1:5" x14ac:dyDescent="0.2">
      <c r="A106" s="2" t="s">
        <v>129</v>
      </c>
      <c r="B106" s="2" t="s">
        <v>130</v>
      </c>
      <c r="C106" s="3">
        <v>28</v>
      </c>
      <c r="D106" s="3" t="s">
        <v>56</v>
      </c>
      <c r="E106" s="2" t="s">
        <v>12</v>
      </c>
    </row>
    <row r="107" spans="1:5" x14ac:dyDescent="0.2">
      <c r="A107" s="2" t="s">
        <v>131</v>
      </c>
      <c r="B107" s="2" t="s">
        <v>323</v>
      </c>
      <c r="C107" s="3">
        <v>39</v>
      </c>
      <c r="D107" s="3" t="s">
        <v>6</v>
      </c>
      <c r="E107" s="2" t="s">
        <v>12</v>
      </c>
    </row>
    <row r="108" spans="1:5" x14ac:dyDescent="0.2">
      <c r="A108" s="2" t="s">
        <v>132</v>
      </c>
      <c r="B108" s="2" t="s">
        <v>133</v>
      </c>
      <c r="C108" s="3">
        <v>33</v>
      </c>
      <c r="D108" s="3" t="s">
        <v>15</v>
      </c>
      <c r="E108" s="2" t="s">
        <v>9</v>
      </c>
    </row>
    <row r="109" spans="1:5" x14ac:dyDescent="0.2">
      <c r="A109" s="2" t="s">
        <v>134</v>
      </c>
      <c r="B109" s="2" t="s">
        <v>324</v>
      </c>
      <c r="C109" s="3">
        <v>30</v>
      </c>
      <c r="D109" s="3" t="s">
        <v>4</v>
      </c>
      <c r="E109" s="2" t="s">
        <v>12</v>
      </c>
    </row>
    <row r="110" spans="1:5" x14ac:dyDescent="0.2">
      <c r="A110" s="2" t="s">
        <v>135</v>
      </c>
      <c r="B110" s="2" t="s">
        <v>325</v>
      </c>
      <c r="C110" s="3">
        <v>23</v>
      </c>
      <c r="D110" s="3" t="s">
        <v>56</v>
      </c>
      <c r="E110" s="2" t="s">
        <v>9</v>
      </c>
    </row>
    <row r="111" spans="1:5" x14ac:dyDescent="0.2">
      <c r="A111" s="2" t="s">
        <v>136</v>
      </c>
      <c r="B111" s="2" t="s">
        <v>137</v>
      </c>
      <c r="C111" s="3">
        <v>40</v>
      </c>
      <c r="D111" s="3" t="s">
        <v>73</v>
      </c>
      <c r="E111" s="2" t="s">
        <v>9</v>
      </c>
    </row>
    <row r="112" spans="1:5" x14ac:dyDescent="0.2">
      <c r="A112" s="2" t="s">
        <v>138</v>
      </c>
      <c r="B112" s="2" t="s">
        <v>326</v>
      </c>
      <c r="C112" s="3">
        <v>24</v>
      </c>
      <c r="D112" s="3" t="s">
        <v>56</v>
      </c>
      <c r="E112" s="2" t="s">
        <v>12</v>
      </c>
    </row>
    <row r="113" spans="1:5" x14ac:dyDescent="0.2">
      <c r="A113" s="2" t="s">
        <v>139</v>
      </c>
      <c r="B113" s="2" t="s">
        <v>140</v>
      </c>
      <c r="C113" s="3">
        <v>32</v>
      </c>
      <c r="D113" s="3" t="s">
        <v>56</v>
      </c>
      <c r="E113" s="2" t="s">
        <v>9</v>
      </c>
    </row>
    <row r="114" spans="1:5" x14ac:dyDescent="0.2">
      <c r="A114" s="2" t="s">
        <v>141</v>
      </c>
      <c r="B114" s="2" t="s">
        <v>327</v>
      </c>
      <c r="C114" s="3">
        <v>21</v>
      </c>
      <c r="D114" s="3" t="s">
        <v>351</v>
      </c>
      <c r="E114" s="2" t="s">
        <v>12</v>
      </c>
    </row>
    <row r="115" spans="1:5" x14ac:dyDescent="0.2">
      <c r="A115" s="2" t="s">
        <v>142</v>
      </c>
      <c r="B115" s="2" t="s">
        <v>328</v>
      </c>
      <c r="C115" s="3">
        <v>57</v>
      </c>
      <c r="D115" s="3" t="s">
        <v>10</v>
      </c>
      <c r="E115" s="2" t="s">
        <v>12</v>
      </c>
    </row>
    <row r="116" spans="1:5" x14ac:dyDescent="0.2">
      <c r="A116" s="2" t="s">
        <v>143</v>
      </c>
      <c r="B116" s="2" t="s">
        <v>329</v>
      </c>
      <c r="C116" s="3">
        <v>54</v>
      </c>
      <c r="D116" s="3" t="s">
        <v>73</v>
      </c>
      <c r="E116" s="2" t="s">
        <v>9</v>
      </c>
    </row>
    <row r="117" spans="1:5" x14ac:dyDescent="0.2">
      <c r="A117" s="2" t="s">
        <v>144</v>
      </c>
      <c r="B117" s="2" t="s">
        <v>330</v>
      </c>
      <c r="C117" s="3">
        <v>44</v>
      </c>
      <c r="D117" s="3" t="s">
        <v>15</v>
      </c>
      <c r="E117" s="2" t="s">
        <v>9</v>
      </c>
    </row>
    <row r="118" spans="1:5" x14ac:dyDescent="0.2">
      <c r="A118" s="2" t="s">
        <v>145</v>
      </c>
      <c r="B118" s="2" t="s">
        <v>331</v>
      </c>
      <c r="C118" s="3">
        <v>38</v>
      </c>
      <c r="D118" s="3" t="s">
        <v>17</v>
      </c>
      <c r="E118" s="2" t="s">
        <v>9</v>
      </c>
    </row>
    <row r="119" spans="1:5" x14ac:dyDescent="0.2">
      <c r="A119" s="2" t="s">
        <v>146</v>
      </c>
      <c r="B119" s="2" t="s">
        <v>332</v>
      </c>
      <c r="C119" s="3">
        <v>55</v>
      </c>
      <c r="D119" s="3" t="s">
        <v>22</v>
      </c>
      <c r="E119" s="2" t="s">
        <v>12</v>
      </c>
    </row>
    <row r="120" spans="1:5" x14ac:dyDescent="0.2">
      <c r="A120" s="2" t="s">
        <v>147</v>
      </c>
      <c r="B120" s="2" t="s">
        <v>333</v>
      </c>
      <c r="C120" s="3">
        <v>27</v>
      </c>
      <c r="D120" s="3" t="s">
        <v>17</v>
      </c>
      <c r="E120" s="2" t="s">
        <v>9</v>
      </c>
    </row>
    <row r="121" spans="1:5" x14ac:dyDescent="0.2">
      <c r="A121" s="2" t="s">
        <v>148</v>
      </c>
      <c r="B121" s="2" t="s">
        <v>149</v>
      </c>
      <c r="C121" s="3">
        <v>33</v>
      </c>
      <c r="D121" s="3" t="s">
        <v>37</v>
      </c>
      <c r="E121" s="2" t="s">
        <v>12</v>
      </c>
    </row>
    <row r="122" spans="1:5" x14ac:dyDescent="0.2">
      <c r="A122" s="2" t="s">
        <v>150</v>
      </c>
      <c r="B122" s="2" t="s">
        <v>334</v>
      </c>
      <c r="C122" s="3">
        <v>43</v>
      </c>
      <c r="D122" s="3" t="s">
        <v>19</v>
      </c>
      <c r="E122" s="2" t="s">
        <v>12</v>
      </c>
    </row>
    <row r="123" spans="1:5" x14ac:dyDescent="0.2">
      <c r="A123" s="2" t="s">
        <v>151</v>
      </c>
      <c r="B123" s="2" t="s">
        <v>335</v>
      </c>
      <c r="C123" s="3">
        <v>60</v>
      </c>
      <c r="D123" s="3" t="s">
        <v>27</v>
      </c>
      <c r="E123" s="2" t="s">
        <v>12</v>
      </c>
    </row>
    <row r="124" spans="1:5" x14ac:dyDescent="0.2">
      <c r="A124" s="2" t="s">
        <v>152</v>
      </c>
      <c r="B124" s="2" t="s">
        <v>336</v>
      </c>
      <c r="C124" s="3">
        <v>37</v>
      </c>
      <c r="D124" s="3" t="s">
        <v>10</v>
      </c>
      <c r="E124" s="2" t="s">
        <v>12</v>
      </c>
    </row>
    <row r="125" spans="1:5" x14ac:dyDescent="0.2">
      <c r="A125" s="2" t="s">
        <v>153</v>
      </c>
      <c r="B125" s="2" t="s">
        <v>337</v>
      </c>
      <c r="C125" s="3">
        <v>33</v>
      </c>
      <c r="D125" s="3" t="s">
        <v>22</v>
      </c>
      <c r="E125" s="2" t="s">
        <v>12</v>
      </c>
    </row>
    <row r="126" spans="1:5" x14ac:dyDescent="0.2">
      <c r="A126" s="2" t="s">
        <v>154</v>
      </c>
      <c r="B126" s="2" t="s">
        <v>338</v>
      </c>
      <c r="C126" s="3">
        <v>25</v>
      </c>
      <c r="D126" s="3" t="s">
        <v>15</v>
      </c>
      <c r="E126" s="2" t="s">
        <v>12</v>
      </c>
    </row>
    <row r="127" spans="1:5" x14ac:dyDescent="0.2">
      <c r="A127" s="2" t="s">
        <v>155</v>
      </c>
      <c r="B127" s="2" t="s">
        <v>292</v>
      </c>
      <c r="C127" s="3">
        <v>23</v>
      </c>
      <c r="D127" s="3" t="s">
        <v>73</v>
      </c>
      <c r="E127" s="2" t="s">
        <v>9</v>
      </c>
    </row>
    <row r="128" spans="1:5" x14ac:dyDescent="0.2">
      <c r="A128" s="2" t="s">
        <v>156</v>
      </c>
      <c r="B128" s="2" t="s">
        <v>339</v>
      </c>
      <c r="C128" s="3">
        <v>32</v>
      </c>
      <c r="D128" s="3" t="s">
        <v>34</v>
      </c>
      <c r="E128" s="2" t="s">
        <v>12</v>
      </c>
    </row>
    <row r="129" spans="1:5" x14ac:dyDescent="0.2">
      <c r="A129" s="2" t="s">
        <v>157</v>
      </c>
      <c r="B129" s="2" t="s">
        <v>340</v>
      </c>
      <c r="C129" s="3">
        <v>30</v>
      </c>
      <c r="D129" s="3" t="s">
        <v>4</v>
      </c>
      <c r="E129" s="2" t="s">
        <v>9</v>
      </c>
    </row>
    <row r="130" spans="1:5" x14ac:dyDescent="0.2">
      <c r="A130" s="2" t="s">
        <v>158</v>
      </c>
      <c r="B130" s="2" t="s">
        <v>159</v>
      </c>
      <c r="C130" s="3">
        <v>39</v>
      </c>
      <c r="D130" s="3" t="s">
        <v>15</v>
      </c>
      <c r="E130" s="2" t="s">
        <v>9</v>
      </c>
    </row>
    <row r="131" spans="1:5" x14ac:dyDescent="0.2">
      <c r="A131" s="2" t="s">
        <v>160</v>
      </c>
      <c r="B131" s="2" t="s">
        <v>291</v>
      </c>
      <c r="C131" s="3">
        <v>18</v>
      </c>
      <c r="D131" s="3" t="s">
        <v>56</v>
      </c>
      <c r="E131" s="2" t="s">
        <v>9</v>
      </c>
    </row>
    <row r="132" spans="1:5" x14ac:dyDescent="0.2">
      <c r="A132" s="2" t="s">
        <v>241</v>
      </c>
      <c r="B132" s="2" t="s">
        <v>311</v>
      </c>
      <c r="C132" s="3">
        <v>52</v>
      </c>
      <c r="D132" s="3" t="s">
        <v>17</v>
      </c>
      <c r="E132" s="2" t="s">
        <v>9</v>
      </c>
    </row>
    <row r="133" spans="1:5" x14ac:dyDescent="0.2">
      <c r="A133" s="2" t="s">
        <v>161</v>
      </c>
      <c r="B133" s="2" t="s">
        <v>341</v>
      </c>
      <c r="C133" s="3">
        <v>41</v>
      </c>
      <c r="D133" s="3" t="s">
        <v>351</v>
      </c>
      <c r="E133" s="2" t="s">
        <v>12</v>
      </c>
    </row>
    <row r="134" spans="1:5" x14ac:dyDescent="0.2">
      <c r="A134" s="2" t="s">
        <v>162</v>
      </c>
      <c r="B134" s="2" t="s">
        <v>163</v>
      </c>
      <c r="C134" s="3">
        <v>30</v>
      </c>
      <c r="D134" s="3" t="s">
        <v>351</v>
      </c>
      <c r="E134" s="2" t="s">
        <v>12</v>
      </c>
    </row>
    <row r="135" spans="1:5" x14ac:dyDescent="0.2">
      <c r="A135" s="2" t="s">
        <v>164</v>
      </c>
      <c r="B135" s="2" t="s">
        <v>267</v>
      </c>
      <c r="C135" s="3">
        <v>39</v>
      </c>
      <c r="D135" s="3" t="s">
        <v>61</v>
      </c>
      <c r="E135" s="2" t="s">
        <v>12</v>
      </c>
    </row>
    <row r="136" spans="1:5" x14ac:dyDescent="0.2">
      <c r="A136" s="2" t="s">
        <v>165</v>
      </c>
      <c r="B136" s="2" t="s">
        <v>166</v>
      </c>
      <c r="C136" s="3">
        <v>39</v>
      </c>
      <c r="D136" s="3" t="s">
        <v>56</v>
      </c>
      <c r="E136" s="2" t="s">
        <v>9</v>
      </c>
    </row>
    <row r="137" spans="1:5" x14ac:dyDescent="0.2">
      <c r="A137" s="2" t="s">
        <v>167</v>
      </c>
      <c r="B137" s="2" t="s">
        <v>342</v>
      </c>
      <c r="C137" s="3">
        <v>31</v>
      </c>
      <c r="D137" s="3" t="s">
        <v>61</v>
      </c>
      <c r="E137" s="2" t="s">
        <v>12</v>
      </c>
    </row>
    <row r="138" spans="1:5" x14ac:dyDescent="0.2">
      <c r="A138" s="2" t="s">
        <v>168</v>
      </c>
      <c r="B138" s="2" t="s">
        <v>343</v>
      </c>
      <c r="C138" s="3">
        <v>19</v>
      </c>
      <c r="D138" s="3" t="s">
        <v>34</v>
      </c>
      <c r="E138" s="2" t="s">
        <v>9</v>
      </c>
    </row>
    <row r="139" spans="1:5" x14ac:dyDescent="0.2">
      <c r="A139" s="2" t="s">
        <v>169</v>
      </c>
      <c r="B139" s="2" t="s">
        <v>344</v>
      </c>
      <c r="C139" s="3">
        <v>53</v>
      </c>
      <c r="D139" s="3" t="s">
        <v>19</v>
      </c>
      <c r="E139" s="2" t="s">
        <v>9</v>
      </c>
    </row>
    <row r="140" spans="1:5" x14ac:dyDescent="0.2">
      <c r="A140" s="2" t="s">
        <v>170</v>
      </c>
      <c r="B140" s="2" t="s">
        <v>345</v>
      </c>
      <c r="C140" s="3">
        <v>34</v>
      </c>
      <c r="D140" s="3" t="s">
        <v>6</v>
      </c>
      <c r="E140" s="2" t="s">
        <v>9</v>
      </c>
    </row>
    <row r="141" spans="1:5" x14ac:dyDescent="0.2">
      <c r="A141" s="2" t="s">
        <v>171</v>
      </c>
      <c r="B141" s="2" t="s">
        <v>346</v>
      </c>
      <c r="C141" s="3">
        <v>32</v>
      </c>
      <c r="D141" s="3" t="s">
        <v>6</v>
      </c>
      <c r="E141" s="2" t="s">
        <v>9</v>
      </c>
    </row>
    <row r="142" spans="1:5" x14ac:dyDescent="0.2">
      <c r="A142" s="2" t="s">
        <v>172</v>
      </c>
      <c r="B142" s="2" t="s">
        <v>347</v>
      </c>
      <c r="C142" s="3">
        <v>59</v>
      </c>
      <c r="D142" s="3" t="s">
        <v>61</v>
      </c>
      <c r="E142" s="2" t="s">
        <v>9</v>
      </c>
    </row>
    <row r="143" spans="1:5" x14ac:dyDescent="0.2">
      <c r="A143" s="2" t="s">
        <v>173</v>
      </c>
      <c r="B143" s="2" t="s">
        <v>348</v>
      </c>
      <c r="C143" s="3">
        <v>43</v>
      </c>
      <c r="D143" s="3" t="s">
        <v>24</v>
      </c>
      <c r="E143" s="2" t="s">
        <v>9</v>
      </c>
    </row>
    <row r="144" spans="1:5" x14ac:dyDescent="0.2">
      <c r="A144" s="2" t="s">
        <v>174</v>
      </c>
      <c r="B144" s="2" t="s">
        <v>349</v>
      </c>
      <c r="C144" s="3">
        <v>38</v>
      </c>
      <c r="D144" s="3" t="s">
        <v>61</v>
      </c>
      <c r="E144" s="2" t="s">
        <v>12</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B5"/>
  <sheetViews>
    <sheetView workbookViewId="0">
      <selection activeCell="B8" sqref="B8"/>
    </sheetView>
  </sheetViews>
  <sheetFormatPr defaultRowHeight="15" x14ac:dyDescent="0.25"/>
  <cols>
    <col min="1" max="1" width="14.42578125" style="1" bestFit="1" customWidth="1"/>
    <col min="2" max="2" width="9.28515625" style="1" bestFit="1" customWidth="1"/>
    <col min="3" max="16384" width="9.140625" style="1"/>
  </cols>
  <sheetData>
    <row r="1" spans="1:2" x14ac:dyDescent="0.25">
      <c r="A1" s="7" t="s">
        <v>221</v>
      </c>
      <c r="B1" s="7" t="s">
        <v>222</v>
      </c>
    </row>
    <row r="2" spans="1:2" x14ac:dyDescent="0.25">
      <c r="A2" s="8" t="s">
        <v>223</v>
      </c>
      <c r="B2" s="9">
        <v>0.1</v>
      </c>
    </row>
    <row r="3" spans="1:2" x14ac:dyDescent="0.25">
      <c r="A3" s="8" t="s">
        <v>224</v>
      </c>
      <c r="B3" s="9">
        <v>0.15</v>
      </c>
    </row>
    <row r="4" spans="1:2" x14ac:dyDescent="0.25">
      <c r="A4" s="8" t="s">
        <v>225</v>
      </c>
      <c r="B4" s="9">
        <v>0.2</v>
      </c>
    </row>
    <row r="5" spans="1:2" x14ac:dyDescent="0.25">
      <c r="A5" s="8" t="s">
        <v>226</v>
      </c>
      <c r="B5" s="9">
        <v>0.05</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workbookViewId="0">
      <selection activeCell="F21" sqref="F21"/>
    </sheetView>
  </sheetViews>
  <sheetFormatPr defaultRowHeight="15" x14ac:dyDescent="0.25"/>
  <cols>
    <col min="1" max="1" width="11.7109375" style="1" bestFit="1" customWidth="1"/>
    <col min="2" max="2" width="11.28515625" style="1" bestFit="1" customWidth="1"/>
    <col min="3" max="3" width="16.28515625" style="1" bestFit="1" customWidth="1"/>
    <col min="4" max="4" width="6.28515625" style="1" bestFit="1" customWidth="1"/>
    <col min="5" max="16384" width="9.140625" style="1"/>
  </cols>
  <sheetData>
    <row r="1" spans="1:4" x14ac:dyDescent="0.25">
      <c r="A1" s="7" t="s">
        <v>175</v>
      </c>
      <c r="B1" s="7" t="s">
        <v>176</v>
      </c>
      <c r="C1" s="7" t="s">
        <v>177</v>
      </c>
      <c r="D1" s="7" t="s">
        <v>178</v>
      </c>
    </row>
    <row r="2" spans="1:4" x14ac:dyDescent="0.25">
      <c r="A2" s="8" t="s">
        <v>179</v>
      </c>
      <c r="B2" s="8" t="s">
        <v>180</v>
      </c>
      <c r="C2" s="8" t="s">
        <v>181</v>
      </c>
      <c r="D2" s="8">
        <v>68</v>
      </c>
    </row>
    <row r="3" spans="1:4" x14ac:dyDescent="0.25">
      <c r="A3" s="8" t="s">
        <v>182</v>
      </c>
      <c r="B3" s="8" t="s">
        <v>180</v>
      </c>
      <c r="C3" s="8" t="s">
        <v>183</v>
      </c>
      <c r="D3" s="8">
        <v>95</v>
      </c>
    </row>
    <row r="4" spans="1:4" x14ac:dyDescent="0.25">
      <c r="A4" s="8" t="s">
        <v>184</v>
      </c>
      <c r="B4" s="8" t="s">
        <v>180</v>
      </c>
      <c r="C4" s="8" t="s">
        <v>185</v>
      </c>
      <c r="D4" s="8">
        <v>54</v>
      </c>
    </row>
    <row r="5" spans="1:4" x14ac:dyDescent="0.25">
      <c r="A5" s="8" t="s">
        <v>186</v>
      </c>
      <c r="B5" s="8" t="s">
        <v>180</v>
      </c>
      <c r="C5" s="8" t="s">
        <v>187</v>
      </c>
      <c r="D5" s="8">
        <v>120</v>
      </c>
    </row>
    <row r="6" spans="1:4" x14ac:dyDescent="0.25">
      <c r="A6" s="8" t="s">
        <v>188</v>
      </c>
      <c r="B6" s="8" t="s">
        <v>180</v>
      </c>
      <c r="C6" s="8" t="s">
        <v>189</v>
      </c>
      <c r="D6" s="8">
        <v>47</v>
      </c>
    </row>
    <row r="7" spans="1:4" x14ac:dyDescent="0.25">
      <c r="A7" s="8" t="s">
        <v>190</v>
      </c>
      <c r="B7" s="8" t="s">
        <v>180</v>
      </c>
      <c r="C7" s="8" t="s">
        <v>191</v>
      </c>
      <c r="D7" s="8">
        <v>89</v>
      </c>
    </row>
    <row r="8" spans="1:4" x14ac:dyDescent="0.25">
      <c r="A8" s="8" t="s">
        <v>192</v>
      </c>
      <c r="B8" s="8" t="s">
        <v>180</v>
      </c>
      <c r="C8" s="8" t="s">
        <v>193</v>
      </c>
      <c r="D8" s="8">
        <v>135</v>
      </c>
    </row>
    <row r="9" spans="1:4" x14ac:dyDescent="0.25">
      <c r="A9" s="8" t="s">
        <v>194</v>
      </c>
      <c r="B9" s="8" t="s">
        <v>180</v>
      </c>
      <c r="C9" s="8" t="s">
        <v>195</v>
      </c>
      <c r="D9" s="8">
        <v>76</v>
      </c>
    </row>
    <row r="10" spans="1:4" x14ac:dyDescent="0.25">
      <c r="A10" s="8" t="s">
        <v>196</v>
      </c>
      <c r="B10" s="8" t="s">
        <v>180</v>
      </c>
      <c r="C10" s="8" t="s">
        <v>197</v>
      </c>
      <c r="D10" s="8">
        <v>42</v>
      </c>
    </row>
    <row r="11" spans="1:4" x14ac:dyDescent="0.25">
      <c r="A11" s="8" t="s">
        <v>198</v>
      </c>
      <c r="B11" s="8" t="s">
        <v>180</v>
      </c>
      <c r="C11" s="8" t="s">
        <v>199</v>
      </c>
      <c r="D11" s="8">
        <v>58</v>
      </c>
    </row>
    <row r="12" spans="1:4" x14ac:dyDescent="0.25">
      <c r="A12" s="8" t="s">
        <v>200</v>
      </c>
      <c r="B12" s="8" t="s">
        <v>201</v>
      </c>
      <c r="C12" s="8" t="s">
        <v>202</v>
      </c>
      <c r="D12" s="8">
        <v>25</v>
      </c>
    </row>
    <row r="13" spans="1:4" x14ac:dyDescent="0.25">
      <c r="A13" s="8" t="s">
        <v>203</v>
      </c>
      <c r="B13" s="8" t="s">
        <v>201</v>
      </c>
      <c r="C13" s="8" t="s">
        <v>204</v>
      </c>
      <c r="D13" s="8">
        <v>145</v>
      </c>
    </row>
    <row r="14" spans="1:4" x14ac:dyDescent="0.25">
      <c r="A14" s="8" t="s">
        <v>205</v>
      </c>
      <c r="B14" s="8" t="s">
        <v>201</v>
      </c>
      <c r="C14" s="8" t="s">
        <v>206</v>
      </c>
      <c r="D14" s="8">
        <v>38</v>
      </c>
    </row>
    <row r="15" spans="1:4" x14ac:dyDescent="0.25">
      <c r="A15" s="8" t="s">
        <v>207</v>
      </c>
      <c r="B15" s="8" t="s">
        <v>201</v>
      </c>
      <c r="C15" s="8" t="s">
        <v>208</v>
      </c>
      <c r="D15" s="8">
        <v>15</v>
      </c>
    </row>
    <row r="16" spans="1:4" x14ac:dyDescent="0.25">
      <c r="A16" s="8" t="s">
        <v>209</v>
      </c>
      <c r="B16" s="8" t="s">
        <v>201</v>
      </c>
      <c r="C16" s="8" t="s">
        <v>210</v>
      </c>
      <c r="D16" s="8">
        <v>62</v>
      </c>
    </row>
    <row r="17" spans="1:4" x14ac:dyDescent="0.25">
      <c r="A17" s="8" t="s">
        <v>211</v>
      </c>
      <c r="B17" s="8" t="s">
        <v>201</v>
      </c>
      <c r="C17" s="8" t="s">
        <v>212</v>
      </c>
      <c r="D17" s="8">
        <v>22</v>
      </c>
    </row>
    <row r="18" spans="1:4" x14ac:dyDescent="0.25">
      <c r="A18" s="8" t="s">
        <v>213</v>
      </c>
      <c r="B18" s="8" t="s">
        <v>201</v>
      </c>
      <c r="C18" s="8" t="s">
        <v>214</v>
      </c>
      <c r="D18" s="8">
        <v>110</v>
      </c>
    </row>
    <row r="19" spans="1:4" x14ac:dyDescent="0.25">
      <c r="A19" s="8" t="s">
        <v>215</v>
      </c>
      <c r="B19" s="8" t="s">
        <v>201</v>
      </c>
      <c r="C19" s="8" t="s">
        <v>216</v>
      </c>
      <c r="D19" s="8">
        <v>48</v>
      </c>
    </row>
    <row r="20" spans="1:4" x14ac:dyDescent="0.25">
      <c r="A20" s="8" t="s">
        <v>217</v>
      </c>
      <c r="B20" s="8" t="s">
        <v>201</v>
      </c>
      <c r="C20" s="8" t="s">
        <v>218</v>
      </c>
      <c r="D20" s="8">
        <v>19</v>
      </c>
    </row>
    <row r="21" spans="1:4" x14ac:dyDescent="0.25">
      <c r="A21" s="8" t="s">
        <v>219</v>
      </c>
      <c r="B21" s="8" t="s">
        <v>201</v>
      </c>
      <c r="C21" s="8" t="s">
        <v>220</v>
      </c>
      <c r="D21" s="8">
        <v>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topLeftCell="B1" zoomScaleNormal="100" workbookViewId="0">
      <selection activeCell="D11" sqref="D11"/>
    </sheetView>
  </sheetViews>
  <sheetFormatPr defaultRowHeight="15" x14ac:dyDescent="0.25"/>
  <cols>
    <col min="1" max="1" width="13.140625" customWidth="1"/>
    <col min="2" max="2" width="15.42578125" customWidth="1"/>
    <col min="3" max="3" width="16.5703125" customWidth="1"/>
    <col min="4" max="5" width="13.140625" customWidth="1"/>
    <col min="6" max="6" width="12" customWidth="1"/>
    <col min="7" max="7" width="20.140625" customWidth="1"/>
    <col min="8" max="8" width="13.140625" customWidth="1"/>
    <col min="9" max="9" width="20.140625" customWidth="1"/>
    <col min="10" max="10" width="19.140625" customWidth="1"/>
    <col min="11" max="11" width="27.5703125" customWidth="1"/>
    <col min="12" max="12" width="13.140625" bestFit="1" customWidth="1"/>
    <col min="13" max="13" width="12" bestFit="1" customWidth="1"/>
  </cols>
  <sheetData>
    <row r="1" spans="1:13" x14ac:dyDescent="0.25">
      <c r="A1" s="1" t="s">
        <v>360</v>
      </c>
      <c r="B1" s="1" t="s">
        <v>364</v>
      </c>
      <c r="C1" s="1" t="s">
        <v>361</v>
      </c>
      <c r="H1" s="13" t="s">
        <v>360</v>
      </c>
      <c r="I1" s="13" t="s">
        <v>369</v>
      </c>
    </row>
    <row r="2" spans="1:13" x14ac:dyDescent="0.25">
      <c r="A2" s="17">
        <v>421</v>
      </c>
      <c r="B2" s="17">
        <v>4</v>
      </c>
      <c r="C2" s="17">
        <v>70.166666666666671</v>
      </c>
      <c r="H2" s="13" t="s">
        <v>362</v>
      </c>
      <c r="I2" t="s">
        <v>201</v>
      </c>
      <c r="J2" t="s">
        <v>180</v>
      </c>
      <c r="K2" t="s">
        <v>363</v>
      </c>
    </row>
    <row r="3" spans="1:13" x14ac:dyDescent="0.25">
      <c r="A3" s="1" t="str">
        <f>"$"&amp;TEXT(A2,"#,##0")</f>
        <v>$421</v>
      </c>
      <c r="B3" s="1"/>
      <c r="C3" s="1" t="str">
        <f>"$"&amp;TEXT(C2,"0.00")</f>
        <v>$70.17</v>
      </c>
      <c r="H3" s="12" t="s">
        <v>379</v>
      </c>
      <c r="I3" s="11">
        <v>148</v>
      </c>
      <c r="J3" s="11"/>
      <c r="K3" s="11">
        <v>148</v>
      </c>
    </row>
    <row r="4" spans="1:13" x14ac:dyDescent="0.25">
      <c r="A4" s="13" t="s">
        <v>362</v>
      </c>
      <c r="B4" t="s">
        <v>360</v>
      </c>
      <c r="E4" s="13" t="s">
        <v>362</v>
      </c>
      <c r="F4" t="s">
        <v>360</v>
      </c>
      <c r="H4" s="12" t="s">
        <v>366</v>
      </c>
      <c r="I4" s="11">
        <v>48</v>
      </c>
      <c r="J4" s="11"/>
      <c r="K4" s="11">
        <v>48</v>
      </c>
    </row>
    <row r="5" spans="1:13" x14ac:dyDescent="0.25">
      <c r="A5" s="12" t="s">
        <v>12</v>
      </c>
      <c r="B5" s="11">
        <v>421</v>
      </c>
      <c r="E5" s="12" t="s">
        <v>15</v>
      </c>
      <c r="F5" s="11">
        <v>421</v>
      </c>
      <c r="H5" s="12" t="s">
        <v>367</v>
      </c>
      <c r="I5" s="11"/>
      <c r="J5" s="11">
        <v>177</v>
      </c>
      <c r="K5" s="11">
        <v>177</v>
      </c>
    </row>
    <row r="6" spans="1:13" x14ac:dyDescent="0.25">
      <c r="A6" s="12" t="s">
        <v>363</v>
      </c>
      <c r="B6" s="11">
        <v>421</v>
      </c>
      <c r="E6" s="12" t="s">
        <v>363</v>
      </c>
      <c r="F6" s="11">
        <v>421</v>
      </c>
      <c r="H6" s="12" t="s">
        <v>368</v>
      </c>
      <c r="I6" s="11">
        <v>48</v>
      </c>
      <c r="J6" s="11"/>
      <c r="K6" s="11">
        <v>48</v>
      </c>
    </row>
    <row r="7" spans="1:13" x14ac:dyDescent="0.25">
      <c r="H7" s="12" t="s">
        <v>363</v>
      </c>
      <c r="I7" s="11">
        <v>244</v>
      </c>
      <c r="J7" s="11">
        <v>177</v>
      </c>
      <c r="K7" s="11">
        <v>421</v>
      </c>
    </row>
    <row r="9" spans="1:13" x14ac:dyDescent="0.25">
      <c r="A9" s="13" t="s">
        <v>362</v>
      </c>
      <c r="B9" t="s">
        <v>360</v>
      </c>
    </row>
    <row r="10" spans="1:13" x14ac:dyDescent="0.25">
      <c r="A10" s="12" t="s">
        <v>365</v>
      </c>
      <c r="B10" s="11">
        <v>48</v>
      </c>
    </row>
    <row r="11" spans="1:13" x14ac:dyDescent="0.25">
      <c r="A11" s="12" t="s">
        <v>378</v>
      </c>
      <c r="B11" s="11">
        <v>373</v>
      </c>
      <c r="I11" t="s">
        <v>371</v>
      </c>
      <c r="J11" s="20" t="s">
        <v>377</v>
      </c>
      <c r="L11" s="13" t="s">
        <v>362</v>
      </c>
      <c r="M11" t="s">
        <v>360</v>
      </c>
    </row>
    <row r="12" spans="1:13" x14ac:dyDescent="0.25">
      <c r="A12" s="12" t="s">
        <v>363</v>
      </c>
      <c r="B12" s="11">
        <v>421</v>
      </c>
      <c r="I12" s="17">
        <v>3</v>
      </c>
      <c r="J12" s="16">
        <f>GETPIVOTDATA("[Measures].[Count of Promo Code]",$I$11)/GETPIVOTDATA("[Measures].[Count of Order ID]",$B$16)</f>
        <v>0.5</v>
      </c>
      <c r="L12" s="12" t="s">
        <v>201</v>
      </c>
      <c r="M12" s="11">
        <v>244</v>
      </c>
    </row>
    <row r="13" spans="1:13" x14ac:dyDescent="0.25">
      <c r="L13" s="12" t="s">
        <v>180</v>
      </c>
      <c r="M13" s="11">
        <v>177</v>
      </c>
    </row>
    <row r="14" spans="1:13" x14ac:dyDescent="0.25">
      <c r="L14" s="12" t="s">
        <v>363</v>
      </c>
      <c r="M14" s="11">
        <v>421</v>
      </c>
    </row>
    <row r="15" spans="1:13" x14ac:dyDescent="0.25">
      <c r="K15" s="1" t="str">
        <f>TEXT(J12,"0%")</f>
        <v>50%</v>
      </c>
    </row>
    <row r="16" spans="1:13" x14ac:dyDescent="0.25">
      <c r="B16" s="18" t="s">
        <v>362</v>
      </c>
      <c r="C16" s="1" t="s">
        <v>370</v>
      </c>
    </row>
    <row r="17" spans="2:11" x14ac:dyDescent="0.25">
      <c r="B17" s="1" t="s">
        <v>231</v>
      </c>
      <c r="C17" s="17">
        <v>4</v>
      </c>
    </row>
    <row r="18" spans="2:11" x14ac:dyDescent="0.25">
      <c r="B18" s="1" t="s">
        <v>234</v>
      </c>
      <c r="C18" s="17">
        <v>1</v>
      </c>
      <c r="J18" s="18" t="s">
        <v>362</v>
      </c>
      <c r="K18" s="1" t="s">
        <v>364</v>
      </c>
    </row>
    <row r="19" spans="2:11" x14ac:dyDescent="0.25">
      <c r="B19" s="1" t="s">
        <v>353</v>
      </c>
      <c r="C19" s="17">
        <v>1</v>
      </c>
      <c r="J19" s="1" t="s">
        <v>372</v>
      </c>
      <c r="K19" s="17">
        <v>3</v>
      </c>
    </row>
    <row r="20" spans="2:11" x14ac:dyDescent="0.25">
      <c r="B20" s="1" t="s">
        <v>363</v>
      </c>
      <c r="C20" s="17">
        <v>6</v>
      </c>
      <c r="H20" s="13" t="s">
        <v>362</v>
      </c>
      <c r="I20" t="s">
        <v>376</v>
      </c>
      <c r="J20" s="1" t="s">
        <v>359</v>
      </c>
      <c r="K20" s="17">
        <v>1</v>
      </c>
    </row>
    <row r="21" spans="2:11" x14ac:dyDescent="0.25">
      <c r="H21" s="12" t="s">
        <v>374</v>
      </c>
      <c r="I21" s="11">
        <v>3</v>
      </c>
      <c r="J21" s="1" t="s">
        <v>363</v>
      </c>
      <c r="K21" s="17">
        <v>4</v>
      </c>
    </row>
    <row r="22" spans="2:11" x14ac:dyDescent="0.25">
      <c r="H22" s="12" t="s">
        <v>375</v>
      </c>
      <c r="I22" s="11">
        <v>3</v>
      </c>
    </row>
    <row r="23" spans="2:11" x14ac:dyDescent="0.25">
      <c r="H23" s="12" t="s">
        <v>363</v>
      </c>
      <c r="I23" s="11">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D3"/>
  <sheetViews>
    <sheetView showGridLines="0" tabSelected="1" zoomScale="59" zoomScaleNormal="59" workbookViewId="0">
      <selection activeCell="W8" sqref="W8"/>
    </sheetView>
  </sheetViews>
  <sheetFormatPr defaultRowHeight="15" x14ac:dyDescent="0.25"/>
  <cols>
    <col min="1" max="16384" width="9.140625" style="14"/>
  </cols>
  <sheetData>
    <row r="3" spans="4:4" x14ac:dyDescent="0.25">
      <c r="D3"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Q299"/>
  <sheetViews>
    <sheetView topLeftCell="A52" workbookViewId="0">
      <selection activeCell="L8" sqref="L8"/>
    </sheetView>
  </sheetViews>
  <sheetFormatPr defaultRowHeight="15" x14ac:dyDescent="0.25"/>
  <cols>
    <col min="1" max="1" width="10.7109375" customWidth="1"/>
    <col min="2" max="2" width="14.140625" customWidth="1"/>
    <col min="3" max="3" width="12.5703125" customWidth="1"/>
    <col min="4" max="4" width="13" customWidth="1"/>
    <col min="5" max="5" width="18.7109375" customWidth="1"/>
    <col min="6" max="6" width="14.140625" customWidth="1"/>
    <col min="7" max="7" width="18.5703125" style="1" bestFit="1" customWidth="1"/>
    <col min="8" max="8" width="9.85546875" style="1" customWidth="1"/>
    <col min="10" max="10" width="12.7109375" bestFit="1" customWidth="1"/>
    <col min="11" max="11" width="11.42578125" style="1" customWidth="1"/>
    <col min="12" max="12" width="16.28515625" style="1" bestFit="1" customWidth="1"/>
    <col min="13" max="13" width="7.7109375" style="1" customWidth="1"/>
    <col min="14" max="14" width="12.42578125" style="1" bestFit="1" customWidth="1"/>
    <col min="15" max="15" width="15.5703125" style="1" bestFit="1" customWidth="1"/>
    <col min="16" max="16" width="21.28515625" style="1" bestFit="1" customWidth="1"/>
    <col min="17" max="17" width="16.85546875" bestFit="1" customWidth="1"/>
  </cols>
  <sheetData>
    <row r="1" spans="1:17" x14ac:dyDescent="0.25">
      <c r="A1" s="19" t="s">
        <v>227</v>
      </c>
      <c r="B1" s="19" t="s">
        <v>0</v>
      </c>
      <c r="C1" s="19" t="s">
        <v>175</v>
      </c>
      <c r="D1" s="19" t="s">
        <v>228</v>
      </c>
      <c r="E1" s="19" t="s">
        <v>229</v>
      </c>
      <c r="F1" s="19" t="s">
        <v>221</v>
      </c>
      <c r="G1" s="19" t="s">
        <v>354</v>
      </c>
      <c r="H1" s="19" t="s">
        <v>355</v>
      </c>
      <c r="I1" s="19" t="s">
        <v>1</v>
      </c>
      <c r="J1" s="19" t="s">
        <v>2</v>
      </c>
      <c r="K1" s="19" t="s">
        <v>176</v>
      </c>
      <c r="L1" s="19" t="s">
        <v>177</v>
      </c>
      <c r="M1" s="19" t="s">
        <v>178</v>
      </c>
      <c r="N1" s="19" t="s">
        <v>357</v>
      </c>
      <c r="O1" s="19" t="s">
        <v>358</v>
      </c>
      <c r="P1" s="19" t="s">
        <v>359</v>
      </c>
      <c r="Q1" s="19" t="s">
        <v>373</v>
      </c>
    </row>
    <row r="2" spans="1:17" x14ac:dyDescent="0.25">
      <c r="A2" s="8">
        <v>5012</v>
      </c>
      <c r="B2" s="8" t="s">
        <v>230</v>
      </c>
      <c r="C2" s="8" t="s">
        <v>198</v>
      </c>
      <c r="D2" s="10">
        <v>46266</v>
      </c>
      <c r="E2" s="8" t="s">
        <v>352</v>
      </c>
      <c r="F2" s="8" t="s">
        <v>223</v>
      </c>
      <c r="G2" s="1" t="str">
        <f>INDEX(Customers!B:B,MATCH(B2,Customers!A:A,0))</f>
        <v>Steven Johnson</v>
      </c>
      <c r="H2" s="1" t="str">
        <f>INDEX(Customers!E:E,MATCH(B2,Customers!A:A,0))</f>
        <v>Male</v>
      </c>
      <c r="I2" s="1">
        <f>INDEX(Customers!C:C,MATCH(B2,Customers!A:A,0))</f>
        <v>33</v>
      </c>
      <c r="J2" s="1" t="str">
        <f>INDEX(Customers!D:D,MATCH(B2,Customers!A:A,0))</f>
        <v>Abuja</v>
      </c>
      <c r="K2" s="1" t="str">
        <f>INDEX(Products!B:B,MATCH(C2,Products!A:A,0))</f>
        <v>Clothing</v>
      </c>
      <c r="L2" s="1" t="str">
        <f>INDEX(Products!C:C,MATCH(C2,Products!A:A,0))</f>
        <v>Knit Sweater</v>
      </c>
      <c r="M2" s="1">
        <f>INDEX(Products!D:D,MATCH(C2,Products!A:A,0))</f>
        <v>58</v>
      </c>
      <c r="N2" s="1" t="str">
        <f t="shared" ref="N2:N65" si="0">CHOOSE(MONTH(D2),"Winter","Winter","Spring","Spring","Spring","Summer","Summer","Summer","Fall","Fall","Fall","Winter")</f>
        <v>Fall</v>
      </c>
      <c r="O2" s="1" t="str">
        <f t="shared" ref="O2:O65" si="1">IF(I2&lt;20,"&lt;20",IF(I2&lt;40,"20-40",IF(I2&lt;60,"40-60","60+")))</f>
        <v>20-40</v>
      </c>
      <c r="P2" s="1" t="str">
        <f t="shared" ref="P2:P65" si="2">IF(COUNTIF(B:B,B2)&gt;1,"Yes","No")</f>
        <v>Yes</v>
      </c>
      <c r="Q2" s="17" t="str">
        <f t="shared" ref="Q2:Q65" si="3">IF(F2="","No Code","Used Code")</f>
        <v>Used Code</v>
      </c>
    </row>
    <row r="3" spans="1:17" x14ac:dyDescent="0.25">
      <c r="A3" s="8">
        <v>5033</v>
      </c>
      <c r="B3" s="8" t="s">
        <v>153</v>
      </c>
      <c r="C3" s="8" t="s">
        <v>209</v>
      </c>
      <c r="D3" s="10">
        <v>46085</v>
      </c>
      <c r="E3" s="8" t="s">
        <v>234</v>
      </c>
      <c r="F3" s="8"/>
      <c r="G3" s="1" t="str">
        <f>INDEX(Customers!B:B,MATCH(B3,Customers!A:A,0))</f>
        <v>Mark Davis</v>
      </c>
      <c r="H3" s="1" t="str">
        <f>INDEX(Customers!E:E,MATCH(B3,Customers!A:A,0))</f>
        <v>Male</v>
      </c>
      <c r="I3" s="1">
        <f>INDEX(Customers!C:C,MATCH(B3,Customers!A:A,0))</f>
        <v>33</v>
      </c>
      <c r="J3" s="1" t="str">
        <f>INDEX(Customers!D:D,MATCH(B3,Customers!A:A,0))</f>
        <v>Jos</v>
      </c>
      <c r="K3" s="1" t="str">
        <f>INDEX(Products!B:B,MATCH(C3,Products!A:A,0))</f>
        <v>Accessories</v>
      </c>
      <c r="L3" s="1" t="str">
        <f>INDEX(Products!C:C,MATCH(C3,Products!A:A,0))</f>
        <v>Tote Bag</v>
      </c>
      <c r="M3" s="1">
        <f>INDEX(Products!D:D,MATCH(C3,Products!A:A,0))</f>
        <v>62</v>
      </c>
      <c r="N3" s="1" t="str">
        <f t="shared" si="0"/>
        <v>Spring</v>
      </c>
      <c r="O3" s="1" t="str">
        <f t="shared" si="1"/>
        <v>20-40</v>
      </c>
      <c r="P3" s="1" t="str">
        <f t="shared" si="2"/>
        <v>Yes</v>
      </c>
      <c r="Q3" s="17" t="str">
        <f t="shared" si="3"/>
        <v>No Code</v>
      </c>
    </row>
    <row r="4" spans="1:17" x14ac:dyDescent="0.25">
      <c r="A4" s="8">
        <v>5117</v>
      </c>
      <c r="B4" s="8" t="s">
        <v>139</v>
      </c>
      <c r="C4" s="8" t="s">
        <v>219</v>
      </c>
      <c r="D4" s="10">
        <v>46045</v>
      </c>
      <c r="E4" s="8" t="s">
        <v>353</v>
      </c>
      <c r="F4" s="8" t="s">
        <v>225</v>
      </c>
      <c r="G4" s="1" t="str">
        <f>INDEX(Customers!B:B,MATCH(B4,Customers!A:A,0))</f>
        <v>Aisha Bello</v>
      </c>
      <c r="H4" s="1" t="str">
        <f>INDEX(Customers!E:E,MATCH(B4,Customers!A:A,0))</f>
        <v>Female</v>
      </c>
      <c r="I4" s="1">
        <f>INDEX(Customers!C:C,MATCH(B4,Customers!A:A,0))</f>
        <v>32</v>
      </c>
      <c r="J4" s="1" t="str">
        <f>INDEX(Customers!D:D,MATCH(B4,Customers!A:A,0))</f>
        <v>Kaduna</v>
      </c>
      <c r="K4" s="1" t="str">
        <f>INDEX(Products!B:B,MATCH(C4,Products!A:A,0))</f>
        <v>Accessories</v>
      </c>
      <c r="L4" s="1" t="str">
        <f>INDEX(Products!C:C,MATCH(C4,Products!A:A,0))</f>
        <v>Waist Belt</v>
      </c>
      <c r="M4" s="1">
        <f>INDEX(Products!D:D,MATCH(C4,Products!A:A,0))</f>
        <v>33</v>
      </c>
      <c r="N4" s="1" t="str">
        <f t="shared" si="0"/>
        <v>Winter</v>
      </c>
      <c r="O4" s="1" t="str">
        <f t="shared" si="1"/>
        <v>20-40</v>
      </c>
      <c r="P4" s="1" t="str">
        <f t="shared" si="2"/>
        <v>Yes</v>
      </c>
      <c r="Q4" s="17" t="str">
        <f t="shared" si="3"/>
        <v>Used Code</v>
      </c>
    </row>
    <row r="5" spans="1:17" x14ac:dyDescent="0.25">
      <c r="A5" s="8">
        <v>5201</v>
      </c>
      <c r="B5" s="8" t="s">
        <v>112</v>
      </c>
      <c r="C5" s="8" t="s">
        <v>217</v>
      </c>
      <c r="D5" s="10">
        <v>46041</v>
      </c>
      <c r="E5" s="8" t="s">
        <v>233</v>
      </c>
      <c r="F5" s="8"/>
      <c r="G5" s="1" t="str">
        <f>INDEX(Customers!B:B,MATCH(B5,Customers!A:A,0))</f>
        <v>Ifeoma Martin</v>
      </c>
      <c r="H5" s="1" t="str">
        <f>INDEX(Customers!E:E,MATCH(B5,Customers!A:A,0))</f>
        <v>Female</v>
      </c>
      <c r="I5" s="1">
        <f>INDEX(Customers!C:C,MATCH(B5,Customers!A:A,0))</f>
        <v>22</v>
      </c>
      <c r="J5" s="1" t="str">
        <f>INDEX(Customers!D:D,MATCH(B5,Customers!A:A,0))</f>
        <v>Kano</v>
      </c>
      <c r="K5" s="1" t="str">
        <f>INDEX(Products!B:B,MATCH(C5,Products!A:A,0))</f>
        <v>Accessories</v>
      </c>
      <c r="L5" s="1" t="str">
        <f>INDEX(Products!C:C,MATCH(C5,Products!A:A,0))</f>
        <v>Earrings</v>
      </c>
      <c r="M5" s="1">
        <f>INDEX(Products!D:D,MATCH(C5,Products!A:A,0))</f>
        <v>19</v>
      </c>
      <c r="N5" s="1" t="str">
        <f t="shared" si="0"/>
        <v>Winter</v>
      </c>
      <c r="O5" s="1" t="str">
        <f t="shared" si="1"/>
        <v>20-40</v>
      </c>
      <c r="P5" s="1" t="str">
        <f t="shared" si="2"/>
        <v>Yes</v>
      </c>
      <c r="Q5" s="17" t="str">
        <f t="shared" si="3"/>
        <v>No Code</v>
      </c>
    </row>
    <row r="6" spans="1:17" x14ac:dyDescent="0.25">
      <c r="A6" s="8">
        <v>5270</v>
      </c>
      <c r="B6" s="8" t="s">
        <v>172</v>
      </c>
      <c r="C6" s="8" t="s">
        <v>184</v>
      </c>
      <c r="D6" s="10">
        <v>45990</v>
      </c>
      <c r="E6" s="8" t="s">
        <v>231</v>
      </c>
      <c r="F6" s="8" t="s">
        <v>225</v>
      </c>
      <c r="G6" s="1" t="str">
        <f>INDEX(Customers!B:B,MATCH(B6,Customers!A:A,0))</f>
        <v>Linda Chukwu</v>
      </c>
      <c r="H6" s="1" t="str">
        <f>INDEX(Customers!E:E,MATCH(B6,Customers!A:A,0))</f>
        <v>Female</v>
      </c>
      <c r="I6" s="1">
        <f>INDEX(Customers!C:C,MATCH(B6,Customers!A:A,0))</f>
        <v>59</v>
      </c>
      <c r="J6" s="1" t="str">
        <f>INDEX(Customers!D:D,MATCH(B6,Customers!A:A,0))</f>
        <v>Ibadan</v>
      </c>
      <c r="K6" s="1" t="str">
        <f>INDEX(Products!B:B,MATCH(C6,Products!A:A,0))</f>
        <v>Clothing</v>
      </c>
      <c r="L6" s="1" t="str">
        <f>INDEX(Products!C:C,MATCH(C6,Products!A:A,0))</f>
        <v>Silk Blouse</v>
      </c>
      <c r="M6" s="1">
        <f>INDEX(Products!D:D,MATCH(C6,Products!A:A,0))</f>
        <v>54</v>
      </c>
      <c r="N6" s="1" t="str">
        <f t="shared" si="0"/>
        <v>Fall</v>
      </c>
      <c r="O6" s="1" t="str">
        <f t="shared" si="1"/>
        <v>40-60</v>
      </c>
      <c r="P6" s="1" t="str">
        <f t="shared" si="2"/>
        <v>Yes</v>
      </c>
      <c r="Q6" s="17" t="str">
        <f t="shared" si="3"/>
        <v>Used Code</v>
      </c>
    </row>
    <row r="7" spans="1:17" x14ac:dyDescent="0.25">
      <c r="A7" s="8">
        <v>5154</v>
      </c>
      <c r="B7" s="8" t="s">
        <v>110</v>
      </c>
      <c r="C7" s="8" t="s">
        <v>198</v>
      </c>
      <c r="D7" s="10">
        <v>46106</v>
      </c>
      <c r="E7" s="8" t="s">
        <v>352</v>
      </c>
      <c r="F7" s="8" t="s">
        <v>226</v>
      </c>
      <c r="G7" s="1" t="str">
        <f>INDEX(Customers!B:B,MATCH(B7,Customers!A:A,0))</f>
        <v>Michael Martin</v>
      </c>
      <c r="H7" s="1" t="str">
        <f>INDEX(Customers!E:E,MATCH(B7,Customers!A:A,0))</f>
        <v>Male</v>
      </c>
      <c r="I7" s="1">
        <f>INDEX(Customers!C:C,MATCH(B7,Customers!A:A,0))</f>
        <v>53</v>
      </c>
      <c r="J7" s="1" t="str">
        <f>INDEX(Customers!D:D,MATCH(B7,Customers!A:A,0))</f>
        <v>Unknown</v>
      </c>
      <c r="K7" s="1" t="str">
        <f>INDEX(Products!B:B,MATCH(C7,Products!A:A,0))</f>
        <v>Clothing</v>
      </c>
      <c r="L7" s="1" t="str">
        <f>INDEX(Products!C:C,MATCH(C7,Products!A:A,0))</f>
        <v>Knit Sweater</v>
      </c>
      <c r="M7" s="1">
        <f>INDEX(Products!D:D,MATCH(C7,Products!A:A,0))</f>
        <v>58</v>
      </c>
      <c r="N7" s="1" t="str">
        <f t="shared" si="0"/>
        <v>Spring</v>
      </c>
      <c r="O7" s="1" t="str">
        <f t="shared" si="1"/>
        <v>40-60</v>
      </c>
      <c r="P7" s="1" t="str">
        <f t="shared" si="2"/>
        <v>Yes</v>
      </c>
      <c r="Q7" s="17" t="str">
        <f t="shared" si="3"/>
        <v>Used Code</v>
      </c>
    </row>
    <row r="8" spans="1:17" x14ac:dyDescent="0.25">
      <c r="A8" s="8">
        <v>5259</v>
      </c>
      <c r="B8" s="8" t="s">
        <v>28</v>
      </c>
      <c r="C8" s="8" t="s">
        <v>194</v>
      </c>
      <c r="D8" s="10">
        <v>46358</v>
      </c>
      <c r="E8" s="8" t="s">
        <v>233</v>
      </c>
      <c r="F8" s="8"/>
      <c r="G8" s="1" t="str">
        <f>INDEX(Customers!B:B,MATCH(B8,Customers!A:A,0))</f>
        <v>Angela Wilson</v>
      </c>
      <c r="H8" s="1" t="str">
        <f>INDEX(Customers!E:E,MATCH(B8,Customers!A:A,0))</f>
        <v>Female</v>
      </c>
      <c r="I8" s="1">
        <f>INDEX(Customers!C:C,MATCH(B8,Customers!A:A,0))</f>
        <v>38</v>
      </c>
      <c r="J8" s="1" t="str">
        <f>INDEX(Customers!D:D,MATCH(B8,Customers!A:A,0))</f>
        <v>Warri</v>
      </c>
      <c r="K8" s="1" t="str">
        <f>INDEX(Products!B:B,MATCH(C8,Products!A:A,0))</f>
        <v>Clothing</v>
      </c>
      <c r="L8" s="1" t="str">
        <f>INDEX(Products!C:C,MATCH(C8,Products!A:A,0))</f>
        <v>Jumpsuit</v>
      </c>
      <c r="M8" s="1">
        <f>INDEX(Products!D:D,MATCH(C8,Products!A:A,0))</f>
        <v>76</v>
      </c>
      <c r="N8" s="1" t="str">
        <f t="shared" si="0"/>
        <v>Winter</v>
      </c>
      <c r="O8" s="1" t="str">
        <f t="shared" si="1"/>
        <v>20-40</v>
      </c>
      <c r="P8" s="1" t="str">
        <f t="shared" si="2"/>
        <v>No</v>
      </c>
      <c r="Q8" s="17" t="str">
        <f t="shared" si="3"/>
        <v>No Code</v>
      </c>
    </row>
    <row r="9" spans="1:17" x14ac:dyDescent="0.25">
      <c r="A9" s="8">
        <v>5198</v>
      </c>
      <c r="B9" s="8" t="s">
        <v>40</v>
      </c>
      <c r="C9" s="8" t="s">
        <v>190</v>
      </c>
      <c r="D9" s="10">
        <v>45842</v>
      </c>
      <c r="E9" s="8" t="s">
        <v>353</v>
      </c>
      <c r="F9" s="8"/>
      <c r="G9" s="1" t="str">
        <f>INDEX(Customers!B:B,MATCH(B9,Customers!A:A,0))</f>
        <v>Peter Johnson</v>
      </c>
      <c r="H9" s="1" t="str">
        <f>INDEX(Customers!E:E,MATCH(B9,Customers!A:A,0))</f>
        <v>Male</v>
      </c>
      <c r="I9" s="1">
        <f>INDEX(Customers!C:C,MATCH(B9,Customers!A:A,0))</f>
        <v>35</v>
      </c>
      <c r="J9" s="1" t="str">
        <f>INDEX(Customers!D:D,MATCH(B9,Customers!A:A,0))</f>
        <v>Lagos</v>
      </c>
      <c r="K9" s="1" t="str">
        <f>INDEX(Products!B:B,MATCH(C9,Products!A:A,0))</f>
        <v>Clothing</v>
      </c>
      <c r="L9" s="1" t="str">
        <f>INDEX(Products!C:C,MATCH(C9,Products!A:A,0))</f>
        <v>Kaftan</v>
      </c>
      <c r="M9" s="1">
        <f>INDEX(Products!D:D,MATCH(C9,Products!A:A,0))</f>
        <v>89</v>
      </c>
      <c r="N9" s="1" t="str">
        <f t="shared" si="0"/>
        <v>Summer</v>
      </c>
      <c r="O9" s="1" t="str">
        <f t="shared" si="1"/>
        <v>20-40</v>
      </c>
      <c r="P9" s="1" t="str">
        <f t="shared" si="2"/>
        <v>Yes</v>
      </c>
      <c r="Q9" s="17" t="str">
        <f t="shared" si="3"/>
        <v>No Code</v>
      </c>
    </row>
    <row r="10" spans="1:17" x14ac:dyDescent="0.25">
      <c r="A10" s="8">
        <v>5039</v>
      </c>
      <c r="B10" s="8" t="s">
        <v>72</v>
      </c>
      <c r="C10" s="8" t="s">
        <v>184</v>
      </c>
      <c r="D10" s="10">
        <v>46115</v>
      </c>
      <c r="E10" s="8" t="s">
        <v>353</v>
      </c>
      <c r="F10" s="8"/>
      <c r="G10" s="1" t="str">
        <f>INDEX(Customers!B:B,MATCH(B10,Customers!A:A,0))</f>
        <v>Grace Taylor</v>
      </c>
      <c r="H10" s="1" t="str">
        <f>INDEX(Customers!E:E,MATCH(B10,Customers!A:A,0))</f>
        <v>Female</v>
      </c>
      <c r="I10" s="1">
        <f>INDEX(Customers!C:C,MATCH(B10,Customers!A:A,0))</f>
        <v>44</v>
      </c>
      <c r="J10" s="1" t="str">
        <f>INDEX(Customers!D:D,MATCH(B10,Customers!A:A,0))</f>
        <v>Port Harcourt</v>
      </c>
      <c r="K10" s="1" t="str">
        <f>INDEX(Products!B:B,MATCH(C10,Products!A:A,0))</f>
        <v>Clothing</v>
      </c>
      <c r="L10" s="1" t="str">
        <f>INDEX(Products!C:C,MATCH(C10,Products!A:A,0))</f>
        <v>Silk Blouse</v>
      </c>
      <c r="M10" s="1">
        <f>INDEX(Products!D:D,MATCH(C10,Products!A:A,0))</f>
        <v>54</v>
      </c>
      <c r="N10" s="1" t="str">
        <f t="shared" si="0"/>
        <v>Spring</v>
      </c>
      <c r="O10" s="1" t="str">
        <f t="shared" si="1"/>
        <v>40-60</v>
      </c>
      <c r="P10" s="1" t="str">
        <f t="shared" si="2"/>
        <v>Yes</v>
      </c>
      <c r="Q10" s="17" t="str">
        <f t="shared" si="3"/>
        <v>No Code</v>
      </c>
    </row>
    <row r="11" spans="1:17" x14ac:dyDescent="0.25">
      <c r="A11" s="8">
        <v>5085</v>
      </c>
      <c r="B11" s="8" t="s">
        <v>168</v>
      </c>
      <c r="C11" s="8" t="s">
        <v>184</v>
      </c>
      <c r="D11" s="10">
        <v>45896</v>
      </c>
      <c r="E11" s="8" t="s">
        <v>352</v>
      </c>
      <c r="F11" s="8" t="s">
        <v>223</v>
      </c>
      <c r="G11" s="1" t="str">
        <f>INDEX(Customers!B:B,MATCH(B11,Customers!A:A,0))</f>
        <v>Nkechi Okoro</v>
      </c>
      <c r="H11" s="1" t="str">
        <f>INDEX(Customers!E:E,MATCH(B11,Customers!A:A,0))</f>
        <v>Female</v>
      </c>
      <c r="I11" s="1">
        <f>INDEX(Customers!C:C,MATCH(B11,Customers!A:A,0))</f>
        <v>19</v>
      </c>
      <c r="J11" s="1" t="str">
        <f>INDEX(Customers!D:D,MATCH(B11,Customers!A:A,0))</f>
        <v>Abuja</v>
      </c>
      <c r="K11" s="1" t="str">
        <f>INDEX(Products!B:B,MATCH(C11,Products!A:A,0))</f>
        <v>Clothing</v>
      </c>
      <c r="L11" s="1" t="str">
        <f>INDEX(Products!C:C,MATCH(C11,Products!A:A,0))</f>
        <v>Silk Blouse</v>
      </c>
      <c r="M11" s="1">
        <f>INDEX(Products!D:D,MATCH(C11,Products!A:A,0))</f>
        <v>54</v>
      </c>
      <c r="N11" s="1" t="str">
        <f t="shared" si="0"/>
        <v>Summer</v>
      </c>
      <c r="O11" s="1" t="str">
        <f t="shared" si="1"/>
        <v>&lt;20</v>
      </c>
      <c r="P11" s="1" t="str">
        <f t="shared" si="2"/>
        <v>Yes</v>
      </c>
      <c r="Q11" s="17" t="str">
        <f t="shared" si="3"/>
        <v>Used Code</v>
      </c>
    </row>
    <row r="12" spans="1:17" x14ac:dyDescent="0.25">
      <c r="A12" s="8">
        <v>5088</v>
      </c>
      <c r="B12" s="8" t="s">
        <v>161</v>
      </c>
      <c r="C12" s="8" t="s">
        <v>179</v>
      </c>
      <c r="D12" s="10">
        <v>45788</v>
      </c>
      <c r="E12" s="8" t="s">
        <v>233</v>
      </c>
      <c r="F12" s="8" t="s">
        <v>223</v>
      </c>
      <c r="G12" s="1" t="str">
        <f>INDEX(Customers!B:B,MATCH(B12,Customers!A:A,0))</f>
        <v>Mark Okoro</v>
      </c>
      <c r="H12" s="1" t="str">
        <f>INDEX(Customers!E:E,MATCH(B12,Customers!A:A,0))</f>
        <v>Male</v>
      </c>
      <c r="I12" s="1">
        <f>INDEX(Customers!C:C,MATCH(B12,Customers!A:A,0))</f>
        <v>41</v>
      </c>
      <c r="J12" s="1" t="str">
        <f>INDEX(Customers!D:D,MATCH(B12,Customers!A:A,0))</f>
        <v>Unknown</v>
      </c>
      <c r="K12" s="1" t="str">
        <f>INDEX(Products!B:B,MATCH(C12,Products!A:A,0))</f>
        <v>Clothing</v>
      </c>
      <c r="L12" s="1" t="str">
        <f>INDEX(Products!C:C,MATCH(C12,Products!A:A,0))</f>
        <v>Ankara Dress</v>
      </c>
      <c r="M12" s="1">
        <f>INDEX(Products!D:D,MATCH(C12,Products!A:A,0))</f>
        <v>68</v>
      </c>
      <c r="N12" s="1" t="str">
        <f t="shared" si="0"/>
        <v>Spring</v>
      </c>
      <c r="O12" s="1" t="str">
        <f t="shared" si="1"/>
        <v>40-60</v>
      </c>
      <c r="P12" s="1" t="str">
        <f t="shared" si="2"/>
        <v>No</v>
      </c>
      <c r="Q12" s="17" t="str">
        <f t="shared" si="3"/>
        <v>Used Code</v>
      </c>
    </row>
    <row r="13" spans="1:17" x14ac:dyDescent="0.25">
      <c r="A13" s="8">
        <v>5205</v>
      </c>
      <c r="B13" s="8" t="s">
        <v>90</v>
      </c>
      <c r="C13" s="8" t="s">
        <v>192</v>
      </c>
      <c r="D13" s="10">
        <v>46083</v>
      </c>
      <c r="E13" s="8" t="s">
        <v>352</v>
      </c>
      <c r="F13" s="8"/>
      <c r="G13" s="1" t="str">
        <f>INDEX(Customers!B:B,MATCH(B13,Customers!A:A,0))</f>
        <v>Fatima Eze</v>
      </c>
      <c r="H13" s="1" t="str">
        <f>INDEX(Customers!E:E,MATCH(B13,Customers!A:A,0))</f>
        <v>Female</v>
      </c>
      <c r="I13" s="1">
        <f>INDEX(Customers!C:C,MATCH(B13,Customers!A:A,0))</f>
        <v>25</v>
      </c>
      <c r="J13" s="1" t="str">
        <f>INDEX(Customers!D:D,MATCH(B13,Customers!A:A,0))</f>
        <v>Kaduna</v>
      </c>
      <c r="K13" s="1" t="str">
        <f>INDEX(Products!B:B,MATCH(C13,Products!A:A,0))</f>
        <v>Clothing</v>
      </c>
      <c r="L13" s="1" t="str">
        <f>INDEX(Products!C:C,MATCH(C13,Products!A:A,0))</f>
        <v>Blazer</v>
      </c>
      <c r="M13" s="1">
        <f>INDEX(Products!D:D,MATCH(C13,Products!A:A,0))</f>
        <v>135</v>
      </c>
      <c r="N13" s="1" t="str">
        <f t="shared" si="0"/>
        <v>Spring</v>
      </c>
      <c r="O13" s="1" t="str">
        <f t="shared" si="1"/>
        <v>20-40</v>
      </c>
      <c r="P13" s="1" t="str">
        <f t="shared" si="2"/>
        <v>No</v>
      </c>
      <c r="Q13" s="17" t="str">
        <f t="shared" si="3"/>
        <v>No Code</v>
      </c>
    </row>
    <row r="14" spans="1:17" x14ac:dyDescent="0.25">
      <c r="A14" s="8">
        <v>5181</v>
      </c>
      <c r="B14" s="8" t="s">
        <v>20</v>
      </c>
      <c r="C14" s="8" t="s">
        <v>200</v>
      </c>
      <c r="D14" s="10">
        <v>46115</v>
      </c>
      <c r="E14" s="8" t="s">
        <v>353</v>
      </c>
      <c r="F14" s="8"/>
      <c r="G14" s="1" t="str">
        <f>INDEX(Customers!B:B,MATCH(B14,Customers!A:A,0))</f>
        <v>James Balogun</v>
      </c>
      <c r="H14" s="1" t="str">
        <f>INDEX(Customers!E:E,MATCH(B14,Customers!A:A,0))</f>
        <v>Male</v>
      </c>
      <c r="I14" s="1">
        <f>INDEX(Customers!C:C,MATCH(B14,Customers!A:A,0))</f>
        <v>41</v>
      </c>
      <c r="J14" s="1" t="str">
        <f>INDEX(Customers!D:D,MATCH(B14,Customers!A:A,0))</f>
        <v>Lagos</v>
      </c>
      <c r="K14" s="1" t="str">
        <f>INDEX(Products!B:B,MATCH(C14,Products!A:A,0))</f>
        <v>Accessories</v>
      </c>
      <c r="L14" s="1" t="str">
        <f>INDEX(Products!C:C,MATCH(C14,Products!A:A,0))</f>
        <v>Beaded Necklace</v>
      </c>
      <c r="M14" s="1">
        <f>INDEX(Products!D:D,MATCH(C14,Products!A:A,0))</f>
        <v>25</v>
      </c>
      <c r="N14" s="1" t="str">
        <f t="shared" si="0"/>
        <v>Spring</v>
      </c>
      <c r="O14" s="1" t="str">
        <f t="shared" si="1"/>
        <v>40-60</v>
      </c>
      <c r="P14" s="1" t="str">
        <f t="shared" si="2"/>
        <v>No</v>
      </c>
      <c r="Q14" s="17" t="str">
        <f t="shared" si="3"/>
        <v>No Code</v>
      </c>
    </row>
    <row r="15" spans="1:17" x14ac:dyDescent="0.25">
      <c r="A15" s="8">
        <v>5292</v>
      </c>
      <c r="B15" s="8" t="s">
        <v>167</v>
      </c>
      <c r="C15" s="8" t="s">
        <v>190</v>
      </c>
      <c r="D15" s="10">
        <v>46035</v>
      </c>
      <c r="E15" s="8" t="s">
        <v>231</v>
      </c>
      <c r="F15" s="8"/>
      <c r="G15" s="1" t="str">
        <f>INDEX(Customers!B:B,MATCH(B15,Customers!A:A,0))</f>
        <v>John Balogun</v>
      </c>
      <c r="H15" s="1" t="str">
        <f>INDEX(Customers!E:E,MATCH(B15,Customers!A:A,0))</f>
        <v>Male</v>
      </c>
      <c r="I15" s="1">
        <f>INDEX(Customers!C:C,MATCH(B15,Customers!A:A,0))</f>
        <v>31</v>
      </c>
      <c r="J15" s="1" t="str">
        <f>INDEX(Customers!D:D,MATCH(B15,Customers!A:A,0))</f>
        <v>Ibadan</v>
      </c>
      <c r="K15" s="1" t="str">
        <f>INDEX(Products!B:B,MATCH(C15,Products!A:A,0))</f>
        <v>Clothing</v>
      </c>
      <c r="L15" s="1" t="str">
        <f>INDEX(Products!C:C,MATCH(C15,Products!A:A,0))</f>
        <v>Kaftan</v>
      </c>
      <c r="M15" s="1">
        <f>INDEX(Products!D:D,MATCH(C15,Products!A:A,0))</f>
        <v>89</v>
      </c>
      <c r="N15" s="1" t="str">
        <f t="shared" si="0"/>
        <v>Winter</v>
      </c>
      <c r="O15" s="1" t="str">
        <f t="shared" si="1"/>
        <v>20-40</v>
      </c>
      <c r="P15" s="1" t="str">
        <f t="shared" si="2"/>
        <v>No</v>
      </c>
      <c r="Q15" s="17" t="str">
        <f t="shared" si="3"/>
        <v>No Code</v>
      </c>
    </row>
    <row r="16" spans="1:17" x14ac:dyDescent="0.25">
      <c r="A16" s="8">
        <v>5296</v>
      </c>
      <c r="B16" s="8" t="s">
        <v>11</v>
      </c>
      <c r="C16" s="8" t="s">
        <v>213</v>
      </c>
      <c r="D16" s="10">
        <v>46162</v>
      </c>
      <c r="E16" s="8" t="s">
        <v>233</v>
      </c>
      <c r="F16" s="8" t="s">
        <v>223</v>
      </c>
      <c r="G16" s="1" t="str">
        <f>INDEX(Customers!B:B,MATCH(B16,Customers!A:A,0))</f>
        <v>Daniel White</v>
      </c>
      <c r="H16" s="1" t="str">
        <f>INDEX(Customers!E:E,MATCH(B16,Customers!A:A,0))</f>
        <v>Male</v>
      </c>
      <c r="I16" s="1">
        <f>INDEX(Customers!C:C,MATCH(B16,Customers!A:A,0))</f>
        <v>20</v>
      </c>
      <c r="J16" s="1" t="str">
        <f>INDEX(Customers!D:D,MATCH(B16,Customers!A:A,0))</f>
        <v>Uyo</v>
      </c>
      <c r="K16" s="1" t="str">
        <f>INDEX(Products!B:B,MATCH(C16,Products!A:A,0))</f>
        <v>Accessories</v>
      </c>
      <c r="L16" s="1" t="str">
        <f>INDEX(Products!C:C,MATCH(C16,Products!A:A,0))</f>
        <v>Ankle Boots</v>
      </c>
      <c r="M16" s="1">
        <f>INDEX(Products!D:D,MATCH(C16,Products!A:A,0))</f>
        <v>110</v>
      </c>
      <c r="N16" s="1" t="str">
        <f t="shared" si="0"/>
        <v>Spring</v>
      </c>
      <c r="O16" s="1" t="str">
        <f t="shared" si="1"/>
        <v>20-40</v>
      </c>
      <c r="P16" s="1" t="str">
        <f t="shared" si="2"/>
        <v>Yes</v>
      </c>
      <c r="Q16" s="17" t="str">
        <f t="shared" si="3"/>
        <v>Used Code</v>
      </c>
    </row>
    <row r="17" spans="1:17" x14ac:dyDescent="0.25">
      <c r="A17" s="8">
        <v>5243</v>
      </c>
      <c r="B17" s="8" t="s">
        <v>135</v>
      </c>
      <c r="C17" s="8" t="s">
        <v>213</v>
      </c>
      <c r="D17" s="10">
        <v>46128</v>
      </c>
      <c r="E17" s="8" t="s">
        <v>352</v>
      </c>
      <c r="F17" s="8" t="s">
        <v>225</v>
      </c>
      <c r="G17" s="1" t="str">
        <f>INDEX(Customers!B:B,MATCH(B17,Customers!A:A,0))</f>
        <v>Chioma Wilson</v>
      </c>
      <c r="H17" s="1" t="str">
        <f>INDEX(Customers!E:E,MATCH(B17,Customers!A:A,0))</f>
        <v>Female</v>
      </c>
      <c r="I17" s="1">
        <f>INDEX(Customers!C:C,MATCH(B17,Customers!A:A,0))</f>
        <v>23</v>
      </c>
      <c r="J17" s="1" t="str">
        <f>INDEX(Customers!D:D,MATCH(B17,Customers!A:A,0))</f>
        <v>Kaduna</v>
      </c>
      <c r="K17" s="1" t="str">
        <f>INDEX(Products!B:B,MATCH(C17,Products!A:A,0))</f>
        <v>Accessories</v>
      </c>
      <c r="L17" s="1" t="str">
        <f>INDEX(Products!C:C,MATCH(C17,Products!A:A,0))</f>
        <v>Ankle Boots</v>
      </c>
      <c r="M17" s="1">
        <f>INDEX(Products!D:D,MATCH(C17,Products!A:A,0))</f>
        <v>110</v>
      </c>
      <c r="N17" s="1" t="str">
        <f t="shared" si="0"/>
        <v>Spring</v>
      </c>
      <c r="O17" s="1" t="str">
        <f t="shared" si="1"/>
        <v>20-40</v>
      </c>
      <c r="P17" s="1" t="str">
        <f t="shared" si="2"/>
        <v>Yes</v>
      </c>
      <c r="Q17" s="17" t="str">
        <f t="shared" si="3"/>
        <v>Used Code</v>
      </c>
    </row>
    <row r="18" spans="1:17" x14ac:dyDescent="0.25">
      <c r="A18" s="8">
        <v>5175</v>
      </c>
      <c r="B18" s="8" t="s">
        <v>79</v>
      </c>
      <c r="C18" s="8" t="s">
        <v>207</v>
      </c>
      <c r="D18" s="10">
        <v>45982</v>
      </c>
      <c r="E18" s="8" t="s">
        <v>353</v>
      </c>
      <c r="F18" s="8"/>
      <c r="G18" s="1" t="str">
        <f>INDEX(Customers!B:B,MATCH(B18,Customers!A:A,0))</f>
        <v>Tunde Eze</v>
      </c>
      <c r="H18" s="1" t="str">
        <f>INDEX(Customers!E:E,MATCH(B18,Customers!A:A,0))</f>
        <v>Male</v>
      </c>
      <c r="I18" s="1">
        <f>INDEX(Customers!C:C,MATCH(B18,Customers!A:A,0))</f>
        <v>26</v>
      </c>
      <c r="J18" s="1" t="str">
        <f>INDEX(Customers!D:D,MATCH(B18,Customers!A:A,0))</f>
        <v>Kaduna</v>
      </c>
      <c r="K18" s="1" t="str">
        <f>INDEX(Products!B:B,MATCH(C18,Products!A:A,0))</f>
        <v>Accessories</v>
      </c>
      <c r="L18" s="1" t="str">
        <f>INDEX(Products!C:C,MATCH(C18,Products!A:A,0))</f>
        <v>Hair Scarf</v>
      </c>
      <c r="M18" s="1">
        <f>INDEX(Products!D:D,MATCH(C18,Products!A:A,0))</f>
        <v>15</v>
      </c>
      <c r="N18" s="1" t="str">
        <f t="shared" si="0"/>
        <v>Fall</v>
      </c>
      <c r="O18" s="1" t="str">
        <f t="shared" si="1"/>
        <v>20-40</v>
      </c>
      <c r="P18" s="1" t="str">
        <f t="shared" si="2"/>
        <v>Yes</v>
      </c>
      <c r="Q18" s="17" t="str">
        <f t="shared" si="3"/>
        <v>No Code</v>
      </c>
    </row>
    <row r="19" spans="1:17" x14ac:dyDescent="0.25">
      <c r="A19" s="8">
        <v>5146</v>
      </c>
      <c r="B19" s="8" t="s">
        <v>36</v>
      </c>
      <c r="C19" s="8" t="s">
        <v>203</v>
      </c>
      <c r="D19" s="10">
        <v>46048</v>
      </c>
      <c r="E19" s="8" t="s">
        <v>352</v>
      </c>
      <c r="F19" s="8" t="s">
        <v>225</v>
      </c>
      <c r="G19" s="1" t="str">
        <f>INDEX(Customers!B:B,MATCH(B19,Customers!A:A,0))</f>
        <v>Musa Harris</v>
      </c>
      <c r="H19" s="1" t="str">
        <f>INDEX(Customers!E:E,MATCH(B19,Customers!A:A,0))</f>
        <v>Male</v>
      </c>
      <c r="I19" s="1">
        <f>INDEX(Customers!C:C,MATCH(B19,Customers!A:A,0))</f>
        <v>51</v>
      </c>
      <c r="J19" s="1" t="str">
        <f>INDEX(Customers!D:D,MATCH(B19,Customers!A:A,0))</f>
        <v>Benin City</v>
      </c>
      <c r="K19" s="1" t="str">
        <f>INDEX(Products!B:B,MATCH(C19,Products!A:A,0))</f>
        <v>Accessories</v>
      </c>
      <c r="L19" s="1" t="str">
        <f>INDEX(Products!C:C,MATCH(C19,Products!A:A,0))</f>
        <v>Leather Handbag</v>
      </c>
      <c r="M19" s="1">
        <f>INDEX(Products!D:D,MATCH(C19,Products!A:A,0))</f>
        <v>145</v>
      </c>
      <c r="N19" s="1" t="str">
        <f t="shared" si="0"/>
        <v>Winter</v>
      </c>
      <c r="O19" s="1" t="str">
        <f t="shared" si="1"/>
        <v>40-60</v>
      </c>
      <c r="P19" s="1" t="str">
        <f t="shared" si="2"/>
        <v>No</v>
      </c>
      <c r="Q19" s="17" t="str">
        <f t="shared" si="3"/>
        <v>Used Code</v>
      </c>
    </row>
    <row r="20" spans="1:17" x14ac:dyDescent="0.25">
      <c r="A20" s="8">
        <v>5268</v>
      </c>
      <c r="B20" s="8" t="s">
        <v>172</v>
      </c>
      <c r="C20" s="8" t="s">
        <v>192</v>
      </c>
      <c r="D20" s="10">
        <v>45983</v>
      </c>
      <c r="E20" s="8" t="s">
        <v>231</v>
      </c>
      <c r="F20" s="8" t="s">
        <v>225</v>
      </c>
      <c r="G20" s="1" t="str">
        <f>INDEX(Customers!B:B,MATCH(B20,Customers!A:A,0))</f>
        <v>Linda Chukwu</v>
      </c>
      <c r="H20" s="1" t="str">
        <f>INDEX(Customers!E:E,MATCH(B20,Customers!A:A,0))</f>
        <v>Female</v>
      </c>
      <c r="I20" s="1">
        <f>INDEX(Customers!C:C,MATCH(B20,Customers!A:A,0))</f>
        <v>59</v>
      </c>
      <c r="J20" s="1" t="str">
        <f>INDEX(Customers!D:D,MATCH(B20,Customers!A:A,0))</f>
        <v>Ibadan</v>
      </c>
      <c r="K20" s="1" t="str">
        <f>INDEX(Products!B:B,MATCH(C20,Products!A:A,0))</f>
        <v>Clothing</v>
      </c>
      <c r="L20" s="1" t="str">
        <f>INDEX(Products!C:C,MATCH(C20,Products!A:A,0))</f>
        <v>Blazer</v>
      </c>
      <c r="M20" s="1">
        <f>INDEX(Products!D:D,MATCH(C20,Products!A:A,0))</f>
        <v>135</v>
      </c>
      <c r="N20" s="1" t="str">
        <f t="shared" si="0"/>
        <v>Fall</v>
      </c>
      <c r="O20" s="1" t="str">
        <f t="shared" si="1"/>
        <v>40-60</v>
      </c>
      <c r="P20" s="1" t="str">
        <f t="shared" si="2"/>
        <v>Yes</v>
      </c>
      <c r="Q20" s="17" t="str">
        <f t="shared" si="3"/>
        <v>Used Code</v>
      </c>
    </row>
    <row r="21" spans="1:17" x14ac:dyDescent="0.25">
      <c r="A21" s="8">
        <v>5206</v>
      </c>
      <c r="B21" s="8" t="s">
        <v>144</v>
      </c>
      <c r="C21" s="8" t="s">
        <v>215</v>
      </c>
      <c r="D21" s="10">
        <v>46148</v>
      </c>
      <c r="E21" s="8" t="s">
        <v>233</v>
      </c>
      <c r="F21" s="8" t="s">
        <v>223</v>
      </c>
      <c r="G21" s="1" t="str">
        <f>INDEX(Customers!B:B,MATCH(B21,Customers!A:A,0))</f>
        <v>Chioma Suleiman</v>
      </c>
      <c r="H21" s="1" t="str">
        <f>INDEX(Customers!E:E,MATCH(B21,Customers!A:A,0))</f>
        <v>Female</v>
      </c>
      <c r="I21" s="1">
        <f>INDEX(Customers!C:C,MATCH(B21,Customers!A:A,0))</f>
        <v>44</v>
      </c>
      <c r="J21" s="1" t="str">
        <f>INDEX(Customers!D:D,MATCH(B21,Customers!A:A,0))</f>
        <v>Ilorin</v>
      </c>
      <c r="K21" s="1" t="str">
        <f>INDEX(Products!B:B,MATCH(C21,Products!A:A,0))</f>
        <v>Accessories</v>
      </c>
      <c r="L21" s="1" t="str">
        <f>INDEX(Products!C:C,MATCH(C21,Products!A:A,0))</f>
        <v>Clutch Purse</v>
      </c>
      <c r="M21" s="1">
        <f>INDEX(Products!D:D,MATCH(C21,Products!A:A,0))</f>
        <v>48</v>
      </c>
      <c r="N21" s="1" t="str">
        <f t="shared" si="0"/>
        <v>Spring</v>
      </c>
      <c r="O21" s="1" t="str">
        <f t="shared" si="1"/>
        <v>40-60</v>
      </c>
      <c r="P21" s="1" t="str">
        <f t="shared" si="2"/>
        <v>No</v>
      </c>
      <c r="Q21" s="17" t="str">
        <f t="shared" si="3"/>
        <v>Used Code</v>
      </c>
    </row>
    <row r="22" spans="1:17" x14ac:dyDescent="0.25">
      <c r="A22" s="8">
        <v>5054</v>
      </c>
      <c r="B22" s="8" t="s">
        <v>63</v>
      </c>
      <c r="C22" s="8" t="s">
        <v>196</v>
      </c>
      <c r="D22" s="10">
        <v>45898</v>
      </c>
      <c r="E22" s="8" t="s">
        <v>231</v>
      </c>
      <c r="F22" s="8"/>
      <c r="G22" s="1" t="str">
        <f>INDEX(Customers!B:B,MATCH(B22,Customers!A:A,0))</f>
        <v>Daniel Jackson</v>
      </c>
      <c r="H22" s="1" t="str">
        <f>INDEX(Customers!E:E,MATCH(B22,Customers!A:A,0))</f>
        <v>Male</v>
      </c>
      <c r="I22" s="1">
        <f>INDEX(Customers!C:C,MATCH(B22,Customers!A:A,0))</f>
        <v>42</v>
      </c>
      <c r="J22" s="1" t="str">
        <f>INDEX(Customers!D:D,MATCH(B22,Customers!A:A,0))</f>
        <v>Ilorin</v>
      </c>
      <c r="K22" s="1" t="str">
        <f>INDEX(Products!B:B,MATCH(C22,Products!A:A,0))</f>
        <v>Clothing</v>
      </c>
      <c r="L22" s="1" t="str">
        <f>INDEX(Products!C:C,MATCH(C22,Products!A:A,0))</f>
        <v>Wrap Skirt</v>
      </c>
      <c r="M22" s="1">
        <f>INDEX(Products!D:D,MATCH(C22,Products!A:A,0))</f>
        <v>42</v>
      </c>
      <c r="N22" s="1" t="str">
        <f t="shared" si="0"/>
        <v>Summer</v>
      </c>
      <c r="O22" s="1" t="str">
        <f t="shared" si="1"/>
        <v>40-60</v>
      </c>
      <c r="P22" s="1" t="str">
        <f t="shared" si="2"/>
        <v>Yes</v>
      </c>
      <c r="Q22" s="17" t="str">
        <f t="shared" si="3"/>
        <v>No Code</v>
      </c>
    </row>
    <row r="23" spans="1:17" x14ac:dyDescent="0.25">
      <c r="A23" s="8">
        <v>5171</v>
      </c>
      <c r="B23" s="8" t="s">
        <v>151</v>
      </c>
      <c r="C23" s="8" t="s">
        <v>217</v>
      </c>
      <c r="D23" s="10">
        <v>45889</v>
      </c>
      <c r="E23" s="8" t="s">
        <v>353</v>
      </c>
      <c r="F23" s="8"/>
      <c r="G23" s="1" t="str">
        <f>INDEX(Customers!B:B,MATCH(B23,Customers!A:A,0))</f>
        <v>James Brown</v>
      </c>
      <c r="H23" s="1" t="str">
        <f>INDEX(Customers!E:E,MATCH(B23,Customers!A:A,0))</f>
        <v>Male</v>
      </c>
      <c r="I23" s="1">
        <f>INDEX(Customers!C:C,MATCH(B23,Customers!A:A,0))</f>
        <v>60</v>
      </c>
      <c r="J23" s="1" t="str">
        <f>INDEX(Customers!D:D,MATCH(B23,Customers!A:A,0))</f>
        <v>Kano</v>
      </c>
      <c r="K23" s="1" t="str">
        <f>INDEX(Products!B:B,MATCH(C23,Products!A:A,0))</f>
        <v>Accessories</v>
      </c>
      <c r="L23" s="1" t="str">
        <f>INDEX(Products!C:C,MATCH(C23,Products!A:A,0))</f>
        <v>Earrings</v>
      </c>
      <c r="M23" s="1">
        <f>INDEX(Products!D:D,MATCH(C23,Products!A:A,0))</f>
        <v>19</v>
      </c>
      <c r="N23" s="1" t="str">
        <f t="shared" si="0"/>
        <v>Summer</v>
      </c>
      <c r="O23" s="1" t="str">
        <f t="shared" si="1"/>
        <v>60+</v>
      </c>
      <c r="P23" s="1" t="str">
        <f t="shared" si="2"/>
        <v>No</v>
      </c>
      <c r="Q23" s="17" t="str">
        <f t="shared" si="3"/>
        <v>No Code</v>
      </c>
    </row>
    <row r="24" spans="1:17" x14ac:dyDescent="0.25">
      <c r="A24" s="8">
        <v>5250</v>
      </c>
      <c r="B24" s="8" t="s">
        <v>232</v>
      </c>
      <c r="C24" s="8" t="s">
        <v>203</v>
      </c>
      <c r="D24" s="10">
        <v>46164</v>
      </c>
      <c r="E24" s="8" t="s">
        <v>231</v>
      </c>
      <c r="F24" s="8" t="s">
        <v>226</v>
      </c>
      <c r="G24" s="1" t="str">
        <f>INDEX(Customers!B:B,MATCH(B24,Customers!A:A,0))</f>
        <v>Yusuf Thomas</v>
      </c>
      <c r="H24" s="1" t="str">
        <f>INDEX(Customers!E:E,MATCH(B24,Customers!A:A,0))</f>
        <v>Male</v>
      </c>
      <c r="I24" s="1">
        <f>INDEX(Customers!C:C,MATCH(B24,Customers!A:A,0))</f>
        <v>30</v>
      </c>
      <c r="J24" s="1" t="str">
        <f>INDEX(Customers!D:D,MATCH(B24,Customers!A:A,0))</f>
        <v>Ibadan</v>
      </c>
      <c r="K24" s="1" t="str">
        <f>INDEX(Products!B:B,MATCH(C24,Products!A:A,0))</f>
        <v>Accessories</v>
      </c>
      <c r="L24" s="1" t="str">
        <f>INDEX(Products!C:C,MATCH(C24,Products!A:A,0))</f>
        <v>Leather Handbag</v>
      </c>
      <c r="M24" s="1">
        <f>INDEX(Products!D:D,MATCH(C24,Products!A:A,0))</f>
        <v>145</v>
      </c>
      <c r="N24" s="1" t="str">
        <f t="shared" si="0"/>
        <v>Spring</v>
      </c>
      <c r="O24" s="1" t="str">
        <f t="shared" si="1"/>
        <v>20-40</v>
      </c>
      <c r="P24" s="1" t="str">
        <f t="shared" si="2"/>
        <v>Yes</v>
      </c>
      <c r="Q24" s="17" t="str">
        <f t="shared" si="3"/>
        <v>Used Code</v>
      </c>
    </row>
    <row r="25" spans="1:17" x14ac:dyDescent="0.25">
      <c r="A25" s="8">
        <v>5246</v>
      </c>
      <c r="B25" s="8" t="s">
        <v>135</v>
      </c>
      <c r="C25" s="8" t="s">
        <v>182</v>
      </c>
      <c r="D25" s="10">
        <v>45975</v>
      </c>
      <c r="E25" s="8" t="s">
        <v>353</v>
      </c>
      <c r="F25" s="8" t="s">
        <v>225</v>
      </c>
      <c r="G25" s="1" t="str">
        <f>INDEX(Customers!B:B,MATCH(B25,Customers!A:A,0))</f>
        <v>Chioma Wilson</v>
      </c>
      <c r="H25" s="1" t="str">
        <f>INDEX(Customers!E:E,MATCH(B25,Customers!A:A,0))</f>
        <v>Female</v>
      </c>
      <c r="I25" s="1">
        <f>INDEX(Customers!C:C,MATCH(B25,Customers!A:A,0))</f>
        <v>23</v>
      </c>
      <c r="J25" s="1" t="str">
        <f>INDEX(Customers!D:D,MATCH(B25,Customers!A:A,0))</f>
        <v>Kaduna</v>
      </c>
      <c r="K25" s="1" t="str">
        <f>INDEX(Products!B:B,MATCH(C25,Products!A:A,0))</f>
        <v>Clothing</v>
      </c>
      <c r="L25" s="1" t="str">
        <f>INDEX(Products!C:C,MATCH(C25,Products!A:A,0))</f>
        <v>Denim Jacket</v>
      </c>
      <c r="M25" s="1">
        <f>INDEX(Products!D:D,MATCH(C25,Products!A:A,0))</f>
        <v>95</v>
      </c>
      <c r="N25" s="1" t="str">
        <f t="shared" si="0"/>
        <v>Fall</v>
      </c>
      <c r="O25" s="1" t="str">
        <f t="shared" si="1"/>
        <v>20-40</v>
      </c>
      <c r="P25" s="1" t="str">
        <f t="shared" si="2"/>
        <v>Yes</v>
      </c>
      <c r="Q25" s="17" t="str">
        <f t="shared" si="3"/>
        <v>Used Code</v>
      </c>
    </row>
    <row r="26" spans="1:17" x14ac:dyDescent="0.25">
      <c r="A26" s="8">
        <v>5249</v>
      </c>
      <c r="B26" s="8" t="s">
        <v>232</v>
      </c>
      <c r="C26" s="8" t="s">
        <v>192</v>
      </c>
      <c r="D26" s="10">
        <v>46073</v>
      </c>
      <c r="E26" s="8" t="s">
        <v>233</v>
      </c>
      <c r="F26" s="8" t="s">
        <v>224</v>
      </c>
      <c r="G26" s="1" t="str">
        <f>INDEX(Customers!B:B,MATCH(B26,Customers!A:A,0))</f>
        <v>Yusuf Thomas</v>
      </c>
      <c r="H26" s="1" t="str">
        <f>INDEX(Customers!E:E,MATCH(B26,Customers!A:A,0))</f>
        <v>Male</v>
      </c>
      <c r="I26" s="1">
        <f>INDEX(Customers!C:C,MATCH(B26,Customers!A:A,0))</f>
        <v>30</v>
      </c>
      <c r="J26" s="1" t="str">
        <f>INDEX(Customers!D:D,MATCH(B26,Customers!A:A,0))</f>
        <v>Ibadan</v>
      </c>
      <c r="K26" s="1" t="str">
        <f>INDEX(Products!B:B,MATCH(C26,Products!A:A,0))</f>
        <v>Clothing</v>
      </c>
      <c r="L26" s="1" t="str">
        <f>INDEX(Products!C:C,MATCH(C26,Products!A:A,0))</f>
        <v>Blazer</v>
      </c>
      <c r="M26" s="1">
        <f>INDEX(Products!D:D,MATCH(C26,Products!A:A,0))</f>
        <v>135</v>
      </c>
      <c r="N26" s="1" t="str">
        <f t="shared" si="0"/>
        <v>Winter</v>
      </c>
      <c r="O26" s="1" t="str">
        <f t="shared" si="1"/>
        <v>20-40</v>
      </c>
      <c r="P26" s="1" t="str">
        <f t="shared" si="2"/>
        <v>Yes</v>
      </c>
      <c r="Q26" s="17" t="str">
        <f t="shared" si="3"/>
        <v>Used Code</v>
      </c>
    </row>
    <row r="27" spans="1:17" x14ac:dyDescent="0.25">
      <c r="A27" s="8">
        <v>5014</v>
      </c>
      <c r="B27" s="8" t="s">
        <v>38</v>
      </c>
      <c r="C27" s="8" t="s">
        <v>188</v>
      </c>
      <c r="D27" s="10">
        <v>46109</v>
      </c>
      <c r="E27" s="8" t="s">
        <v>233</v>
      </c>
      <c r="F27" s="8" t="s">
        <v>226</v>
      </c>
      <c r="G27" s="1" t="str">
        <f>INDEX(Customers!B:B,MATCH(B27,Customers!A:A,0))</f>
        <v>Linda Smith</v>
      </c>
      <c r="H27" s="1" t="str">
        <f>INDEX(Customers!E:E,MATCH(B27,Customers!A:A,0))</f>
        <v>Female</v>
      </c>
      <c r="I27" s="1">
        <f>INDEX(Customers!C:C,MATCH(B27,Customers!A:A,0))</f>
        <v>54</v>
      </c>
      <c r="J27" s="1" t="str">
        <f>INDEX(Customers!D:D,MATCH(B27,Customers!A:A,0))</f>
        <v>Uyo</v>
      </c>
      <c r="K27" s="1" t="str">
        <f>INDEX(Products!B:B,MATCH(C27,Products!A:A,0))</f>
        <v>Clothing</v>
      </c>
      <c r="L27" s="1" t="str">
        <f>INDEX(Products!C:C,MATCH(C27,Products!A:A,0))</f>
        <v>Linen Trousers</v>
      </c>
      <c r="M27" s="1">
        <f>INDEX(Products!D:D,MATCH(C27,Products!A:A,0))</f>
        <v>47</v>
      </c>
      <c r="N27" s="1" t="str">
        <f t="shared" si="0"/>
        <v>Spring</v>
      </c>
      <c r="O27" s="1" t="str">
        <f t="shared" si="1"/>
        <v>40-60</v>
      </c>
      <c r="P27" s="1" t="str">
        <f t="shared" si="2"/>
        <v>Yes</v>
      </c>
      <c r="Q27" s="17" t="str">
        <f t="shared" si="3"/>
        <v>Used Code</v>
      </c>
    </row>
    <row r="28" spans="1:17" x14ac:dyDescent="0.25">
      <c r="A28" s="8">
        <v>5179</v>
      </c>
      <c r="B28" s="8" t="s">
        <v>125</v>
      </c>
      <c r="C28" s="8" t="s">
        <v>184</v>
      </c>
      <c r="D28" s="10">
        <v>45948</v>
      </c>
      <c r="E28" s="8" t="s">
        <v>231</v>
      </c>
      <c r="F28" s="8" t="s">
        <v>223</v>
      </c>
      <c r="G28" s="1" t="str">
        <f>INDEX(Customers!B:B,MATCH(B28,Customers!A:A,0))</f>
        <v>Sarah Jackson</v>
      </c>
      <c r="H28" s="1" t="str">
        <f>INDEX(Customers!E:E,MATCH(B28,Customers!A:A,0))</f>
        <v>Female</v>
      </c>
      <c r="I28" s="1">
        <f>INDEX(Customers!C:C,MATCH(B28,Customers!A:A,0))</f>
        <v>45</v>
      </c>
      <c r="J28" s="1" t="str">
        <f>INDEX(Customers!D:D,MATCH(B28,Customers!A:A,0))</f>
        <v>Unknown</v>
      </c>
      <c r="K28" s="1" t="str">
        <f>INDEX(Products!B:B,MATCH(C28,Products!A:A,0))</f>
        <v>Clothing</v>
      </c>
      <c r="L28" s="1" t="str">
        <f>INDEX(Products!C:C,MATCH(C28,Products!A:A,0))</f>
        <v>Silk Blouse</v>
      </c>
      <c r="M28" s="1">
        <f>INDEX(Products!D:D,MATCH(C28,Products!A:A,0))</f>
        <v>54</v>
      </c>
      <c r="N28" s="1" t="str">
        <f t="shared" si="0"/>
        <v>Fall</v>
      </c>
      <c r="O28" s="1" t="str">
        <f t="shared" si="1"/>
        <v>40-60</v>
      </c>
      <c r="P28" s="1" t="str">
        <f t="shared" si="2"/>
        <v>Yes</v>
      </c>
      <c r="Q28" s="17" t="str">
        <f t="shared" si="3"/>
        <v>Used Code</v>
      </c>
    </row>
    <row r="29" spans="1:17" x14ac:dyDescent="0.25">
      <c r="A29" s="8">
        <v>5102</v>
      </c>
      <c r="B29" s="8" t="s">
        <v>171</v>
      </c>
      <c r="C29" s="8" t="s">
        <v>217</v>
      </c>
      <c r="D29" s="10">
        <v>45997</v>
      </c>
      <c r="E29" s="8" t="s">
        <v>231</v>
      </c>
      <c r="F29" s="8"/>
      <c r="G29" s="1" t="str">
        <f>INDEX(Customers!B:B,MATCH(B29,Customers!A:A,0))</f>
        <v>Nkechi White</v>
      </c>
      <c r="H29" s="1" t="str">
        <f>INDEX(Customers!E:E,MATCH(B29,Customers!A:A,0))</f>
        <v>Female</v>
      </c>
      <c r="I29" s="1">
        <f>INDEX(Customers!C:C,MATCH(B29,Customers!A:A,0))</f>
        <v>32</v>
      </c>
      <c r="J29" s="1" t="str">
        <f>INDEX(Customers!D:D,MATCH(B29,Customers!A:A,0))</f>
        <v>Owerri</v>
      </c>
      <c r="K29" s="1" t="str">
        <f>INDEX(Products!B:B,MATCH(C29,Products!A:A,0))</f>
        <v>Accessories</v>
      </c>
      <c r="L29" s="1" t="str">
        <f>INDEX(Products!C:C,MATCH(C29,Products!A:A,0))</f>
        <v>Earrings</v>
      </c>
      <c r="M29" s="1">
        <f>INDEX(Products!D:D,MATCH(C29,Products!A:A,0))</f>
        <v>19</v>
      </c>
      <c r="N29" s="1" t="str">
        <f t="shared" si="0"/>
        <v>Winter</v>
      </c>
      <c r="O29" s="1" t="str">
        <f t="shared" si="1"/>
        <v>20-40</v>
      </c>
      <c r="P29" s="1" t="str">
        <f t="shared" si="2"/>
        <v>Yes</v>
      </c>
      <c r="Q29" s="17" t="str">
        <f t="shared" si="3"/>
        <v>No Code</v>
      </c>
    </row>
    <row r="30" spans="1:17" x14ac:dyDescent="0.25">
      <c r="A30" s="8">
        <v>5090</v>
      </c>
      <c r="B30" s="8" t="s">
        <v>86</v>
      </c>
      <c r="C30" s="8" t="s">
        <v>186</v>
      </c>
      <c r="D30" s="10">
        <v>45847</v>
      </c>
      <c r="E30" s="8" t="s">
        <v>231</v>
      </c>
      <c r="F30" s="8"/>
      <c r="G30" s="1" t="str">
        <f>INDEX(Customers!B:B,MATCH(B30,Customers!A:A,0))</f>
        <v>Grace Aliyu</v>
      </c>
      <c r="H30" s="1" t="str">
        <f>INDEX(Customers!E:E,MATCH(B30,Customers!A:A,0))</f>
        <v>Female</v>
      </c>
      <c r="I30" s="1">
        <f>INDEX(Customers!C:C,MATCH(B30,Customers!A:A,0))</f>
        <v>49</v>
      </c>
      <c r="J30" s="1" t="str">
        <f>INDEX(Customers!D:D,MATCH(B30,Customers!A:A,0))</f>
        <v>Kaduna</v>
      </c>
      <c r="K30" s="1" t="str">
        <f>INDEX(Products!B:B,MATCH(C30,Products!A:A,0))</f>
        <v>Clothing</v>
      </c>
      <c r="L30" s="1" t="str">
        <f>INDEX(Products!C:C,MATCH(C30,Products!A:A,0))</f>
        <v>Maxi Gown</v>
      </c>
      <c r="M30" s="1">
        <f>INDEX(Products!D:D,MATCH(C30,Products!A:A,0))</f>
        <v>120</v>
      </c>
      <c r="N30" s="1" t="str">
        <f t="shared" si="0"/>
        <v>Summer</v>
      </c>
      <c r="O30" s="1" t="str">
        <f t="shared" si="1"/>
        <v>40-60</v>
      </c>
      <c r="P30" s="1" t="str">
        <f t="shared" si="2"/>
        <v>Yes</v>
      </c>
      <c r="Q30" s="17" t="str">
        <f t="shared" si="3"/>
        <v>No Code</v>
      </c>
    </row>
    <row r="31" spans="1:17" x14ac:dyDescent="0.25">
      <c r="A31" s="8">
        <v>5136</v>
      </c>
      <c r="B31" s="8" t="s">
        <v>123</v>
      </c>
      <c r="C31" s="8" t="s">
        <v>188</v>
      </c>
      <c r="D31" s="10">
        <v>46066</v>
      </c>
      <c r="E31" s="8" t="s">
        <v>234</v>
      </c>
      <c r="F31" s="8" t="s">
        <v>226</v>
      </c>
      <c r="G31" s="1" t="str">
        <f>INDEX(Customers!B:B,MATCH(B31,Customers!A:A,0))</f>
        <v>Tunde Suleiman</v>
      </c>
      <c r="H31" s="1" t="str">
        <f>INDEX(Customers!E:E,MATCH(B31,Customers!A:A,0))</f>
        <v>Male</v>
      </c>
      <c r="I31" s="1">
        <f>INDEX(Customers!C:C,MATCH(B31,Customers!A:A,0))</f>
        <v>53</v>
      </c>
      <c r="J31" s="1" t="str">
        <f>INDEX(Customers!D:D,MATCH(B31,Customers!A:A,0))</f>
        <v>Port Harcourt</v>
      </c>
      <c r="K31" s="1" t="str">
        <f>INDEX(Products!B:B,MATCH(C31,Products!A:A,0))</f>
        <v>Clothing</v>
      </c>
      <c r="L31" s="1" t="str">
        <f>INDEX(Products!C:C,MATCH(C31,Products!A:A,0))</f>
        <v>Linen Trousers</v>
      </c>
      <c r="M31" s="1">
        <f>INDEX(Products!D:D,MATCH(C31,Products!A:A,0))</f>
        <v>47</v>
      </c>
      <c r="N31" s="1" t="str">
        <f t="shared" si="0"/>
        <v>Winter</v>
      </c>
      <c r="O31" s="1" t="str">
        <f t="shared" si="1"/>
        <v>40-60</v>
      </c>
      <c r="P31" s="1" t="str">
        <f t="shared" si="2"/>
        <v>Yes</v>
      </c>
      <c r="Q31" s="17" t="str">
        <f t="shared" si="3"/>
        <v>Used Code</v>
      </c>
    </row>
    <row r="32" spans="1:17" x14ac:dyDescent="0.25">
      <c r="A32" s="8">
        <v>5127</v>
      </c>
      <c r="B32" s="8" t="s">
        <v>102</v>
      </c>
      <c r="C32" s="8" t="s">
        <v>192</v>
      </c>
      <c r="D32" s="10">
        <v>45881</v>
      </c>
      <c r="E32" s="8" t="s">
        <v>233</v>
      </c>
      <c r="F32" s="8"/>
      <c r="G32" s="1" t="str">
        <f>INDEX(Customers!B:B,MATCH(B32,Customers!A:A,0))</f>
        <v>Grace Wilson</v>
      </c>
      <c r="H32" s="1" t="str">
        <f>INDEX(Customers!E:E,MATCH(B32,Customers!A:A,0))</f>
        <v>Female</v>
      </c>
      <c r="I32" s="1">
        <f>INDEX(Customers!C:C,MATCH(B32,Customers!A:A,0))</f>
        <v>30</v>
      </c>
      <c r="J32" s="1" t="str">
        <f>INDEX(Customers!D:D,MATCH(B32,Customers!A:A,0))</f>
        <v>Kaduna</v>
      </c>
      <c r="K32" s="1" t="str">
        <f>INDEX(Products!B:B,MATCH(C32,Products!A:A,0))</f>
        <v>Clothing</v>
      </c>
      <c r="L32" s="1" t="str">
        <f>INDEX(Products!C:C,MATCH(C32,Products!A:A,0))</f>
        <v>Blazer</v>
      </c>
      <c r="M32" s="1">
        <f>INDEX(Products!D:D,MATCH(C32,Products!A:A,0))</f>
        <v>135</v>
      </c>
      <c r="N32" s="1" t="str">
        <f t="shared" si="0"/>
        <v>Summer</v>
      </c>
      <c r="O32" s="1" t="str">
        <f t="shared" si="1"/>
        <v>20-40</v>
      </c>
      <c r="P32" s="1" t="str">
        <f t="shared" si="2"/>
        <v>Yes</v>
      </c>
      <c r="Q32" s="17" t="str">
        <f t="shared" si="3"/>
        <v>No Code</v>
      </c>
    </row>
    <row r="33" spans="1:17" x14ac:dyDescent="0.25">
      <c r="A33" s="8">
        <v>5185</v>
      </c>
      <c r="B33" s="8" t="s">
        <v>47</v>
      </c>
      <c r="C33" s="8" t="s">
        <v>205</v>
      </c>
      <c r="D33" s="10">
        <v>45990</v>
      </c>
      <c r="E33" s="8" t="s">
        <v>234</v>
      </c>
      <c r="F33" s="8"/>
      <c r="G33" s="1" t="str">
        <f>INDEX(Customers!B:B,MATCH(B33,Customers!A:A,0))</f>
        <v>Halima Miller</v>
      </c>
      <c r="H33" s="1" t="str">
        <f>INDEX(Customers!E:E,MATCH(B33,Customers!A:A,0))</f>
        <v>Female</v>
      </c>
      <c r="I33" s="1">
        <f>INDEX(Customers!C:C,MATCH(B33,Customers!A:A,0))</f>
        <v>51</v>
      </c>
      <c r="J33" s="1" t="str">
        <f>INDEX(Customers!D:D,MATCH(B33,Customers!A:A,0))</f>
        <v>Uyo</v>
      </c>
      <c r="K33" s="1" t="str">
        <f>INDEX(Products!B:B,MATCH(C33,Products!A:A,0))</f>
        <v>Accessories</v>
      </c>
      <c r="L33" s="1" t="str">
        <f>INDEX(Products!C:C,MATCH(C33,Products!A:A,0))</f>
        <v>Sunglasses</v>
      </c>
      <c r="M33" s="1">
        <f>INDEX(Products!D:D,MATCH(C33,Products!A:A,0))</f>
        <v>38</v>
      </c>
      <c r="N33" s="1" t="str">
        <f t="shared" si="0"/>
        <v>Fall</v>
      </c>
      <c r="O33" s="1" t="str">
        <f t="shared" si="1"/>
        <v>40-60</v>
      </c>
      <c r="P33" s="1" t="str">
        <f t="shared" si="2"/>
        <v>No</v>
      </c>
      <c r="Q33" s="17" t="str">
        <f t="shared" si="3"/>
        <v>No Code</v>
      </c>
    </row>
    <row r="34" spans="1:17" x14ac:dyDescent="0.25">
      <c r="A34" s="8">
        <v>5103</v>
      </c>
      <c r="B34" s="8" t="s">
        <v>25</v>
      </c>
      <c r="C34" s="8" t="s">
        <v>184</v>
      </c>
      <c r="D34" s="10">
        <v>46086</v>
      </c>
      <c r="E34" s="8" t="s">
        <v>352</v>
      </c>
      <c r="F34" s="8" t="s">
        <v>224</v>
      </c>
      <c r="G34" s="1" t="str">
        <f>INDEX(Customers!B:B,MATCH(B34,Customers!A:A,0))</f>
        <v>John Okoro</v>
      </c>
      <c r="H34" s="1" t="str">
        <f>INDEX(Customers!E:E,MATCH(B34,Customers!A:A,0))</f>
        <v>Male</v>
      </c>
      <c r="I34" s="1">
        <f>INDEX(Customers!C:C,MATCH(B34,Customers!A:A,0))</f>
        <v>30</v>
      </c>
      <c r="J34" s="1" t="str">
        <f>INDEX(Customers!D:D,MATCH(B34,Customers!A:A,0))</f>
        <v>Jos</v>
      </c>
      <c r="K34" s="1" t="str">
        <f>INDEX(Products!B:B,MATCH(C34,Products!A:A,0))</f>
        <v>Clothing</v>
      </c>
      <c r="L34" s="1" t="str">
        <f>INDEX(Products!C:C,MATCH(C34,Products!A:A,0))</f>
        <v>Silk Blouse</v>
      </c>
      <c r="M34" s="1">
        <f>INDEX(Products!D:D,MATCH(C34,Products!A:A,0))</f>
        <v>54</v>
      </c>
      <c r="N34" s="1" t="str">
        <f t="shared" si="0"/>
        <v>Spring</v>
      </c>
      <c r="O34" s="1" t="str">
        <f t="shared" si="1"/>
        <v>20-40</v>
      </c>
      <c r="P34" s="1" t="str">
        <f t="shared" si="2"/>
        <v>Yes</v>
      </c>
      <c r="Q34" s="17" t="str">
        <f t="shared" si="3"/>
        <v>Used Code</v>
      </c>
    </row>
    <row r="35" spans="1:17" x14ac:dyDescent="0.25">
      <c r="A35" s="8">
        <v>5133</v>
      </c>
      <c r="B35" s="8" t="s">
        <v>92</v>
      </c>
      <c r="C35" s="8" t="s">
        <v>203</v>
      </c>
      <c r="D35" s="10">
        <v>46080</v>
      </c>
      <c r="E35" s="8" t="s">
        <v>231</v>
      </c>
      <c r="F35" s="8" t="s">
        <v>223</v>
      </c>
      <c r="G35" s="1" t="str">
        <f>INDEX(Customers!B:B,MATCH(B35,Customers!A:A,0))</f>
        <v>Sarah Williams</v>
      </c>
      <c r="H35" s="1" t="str">
        <f>INDEX(Customers!E:E,MATCH(B35,Customers!A:A,0))</f>
        <v>Female</v>
      </c>
      <c r="I35" s="1">
        <f>INDEX(Customers!C:C,MATCH(B35,Customers!A:A,0))</f>
        <v>26</v>
      </c>
      <c r="J35" s="1" t="str">
        <f>INDEX(Customers!D:D,MATCH(B35,Customers!A:A,0))</f>
        <v>Lagos</v>
      </c>
      <c r="K35" s="1" t="str">
        <f>INDEX(Products!B:B,MATCH(C35,Products!A:A,0))</f>
        <v>Accessories</v>
      </c>
      <c r="L35" s="1" t="str">
        <f>INDEX(Products!C:C,MATCH(C35,Products!A:A,0))</f>
        <v>Leather Handbag</v>
      </c>
      <c r="M35" s="1">
        <f>INDEX(Products!D:D,MATCH(C35,Products!A:A,0))</f>
        <v>145</v>
      </c>
      <c r="N35" s="1" t="str">
        <f t="shared" si="0"/>
        <v>Winter</v>
      </c>
      <c r="O35" s="1" t="str">
        <f t="shared" si="1"/>
        <v>20-40</v>
      </c>
      <c r="P35" s="1" t="str">
        <f t="shared" si="2"/>
        <v>Yes</v>
      </c>
      <c r="Q35" s="17" t="str">
        <f t="shared" si="3"/>
        <v>Used Code</v>
      </c>
    </row>
    <row r="36" spans="1:17" x14ac:dyDescent="0.25">
      <c r="A36" s="8">
        <v>5078</v>
      </c>
      <c r="B36" s="8" t="s">
        <v>138</v>
      </c>
      <c r="C36" s="8" t="s">
        <v>196</v>
      </c>
      <c r="D36" s="10">
        <v>46127</v>
      </c>
      <c r="E36" s="8" t="s">
        <v>234</v>
      </c>
      <c r="F36" s="8"/>
      <c r="G36" s="1" t="str">
        <f>INDEX(Customers!B:B,MATCH(B36,Customers!A:A,0))</f>
        <v>Kevin Wilson</v>
      </c>
      <c r="H36" s="1" t="str">
        <f>INDEX(Customers!E:E,MATCH(B36,Customers!A:A,0))</f>
        <v>Male</v>
      </c>
      <c r="I36" s="1">
        <f>INDEX(Customers!C:C,MATCH(B36,Customers!A:A,0))</f>
        <v>24</v>
      </c>
      <c r="J36" s="1" t="str">
        <f>INDEX(Customers!D:D,MATCH(B36,Customers!A:A,0))</f>
        <v>Kaduna</v>
      </c>
      <c r="K36" s="1" t="str">
        <f>INDEX(Products!B:B,MATCH(C36,Products!A:A,0))</f>
        <v>Clothing</v>
      </c>
      <c r="L36" s="1" t="str">
        <f>INDEX(Products!C:C,MATCH(C36,Products!A:A,0))</f>
        <v>Wrap Skirt</v>
      </c>
      <c r="M36" s="1">
        <f>INDEX(Products!D:D,MATCH(C36,Products!A:A,0))</f>
        <v>42</v>
      </c>
      <c r="N36" s="1" t="str">
        <f t="shared" si="0"/>
        <v>Spring</v>
      </c>
      <c r="O36" s="1" t="str">
        <f t="shared" si="1"/>
        <v>20-40</v>
      </c>
      <c r="P36" s="1" t="str">
        <f t="shared" si="2"/>
        <v>Yes</v>
      </c>
      <c r="Q36" s="17" t="str">
        <f t="shared" si="3"/>
        <v>No Code</v>
      </c>
    </row>
    <row r="37" spans="1:17" x14ac:dyDescent="0.25">
      <c r="A37" s="8">
        <v>5289</v>
      </c>
      <c r="B37" s="8" t="s">
        <v>89</v>
      </c>
      <c r="C37" s="8" t="s">
        <v>179</v>
      </c>
      <c r="D37" s="10">
        <v>45849</v>
      </c>
      <c r="E37" s="8" t="s">
        <v>233</v>
      </c>
      <c r="F37" s="8" t="s">
        <v>224</v>
      </c>
      <c r="G37" s="1" t="str">
        <f>INDEX(Customers!B:B,MATCH(B37,Customers!A:A,0))</f>
        <v>Adaeze Eze</v>
      </c>
      <c r="H37" s="1" t="str">
        <f>INDEX(Customers!E:E,MATCH(B37,Customers!A:A,0))</f>
        <v>Female</v>
      </c>
      <c r="I37" s="1">
        <f>INDEX(Customers!C:C,MATCH(B37,Customers!A:A,0))</f>
        <v>22</v>
      </c>
      <c r="J37" s="1" t="str">
        <f>INDEX(Customers!D:D,MATCH(B37,Customers!A:A,0))</f>
        <v>Calabar</v>
      </c>
      <c r="K37" s="1" t="str">
        <f>INDEX(Products!B:B,MATCH(C37,Products!A:A,0))</f>
        <v>Clothing</v>
      </c>
      <c r="L37" s="1" t="str">
        <f>INDEX(Products!C:C,MATCH(C37,Products!A:A,0))</f>
        <v>Ankara Dress</v>
      </c>
      <c r="M37" s="1">
        <f>INDEX(Products!D:D,MATCH(C37,Products!A:A,0))</f>
        <v>68</v>
      </c>
      <c r="N37" s="1" t="str">
        <f t="shared" si="0"/>
        <v>Summer</v>
      </c>
      <c r="O37" s="1" t="str">
        <f t="shared" si="1"/>
        <v>20-40</v>
      </c>
      <c r="P37" s="1" t="str">
        <f t="shared" si="2"/>
        <v>Yes</v>
      </c>
      <c r="Q37" s="17" t="str">
        <f t="shared" si="3"/>
        <v>Used Code</v>
      </c>
    </row>
    <row r="38" spans="1:17" x14ac:dyDescent="0.25">
      <c r="A38" s="8">
        <v>5261</v>
      </c>
      <c r="B38" s="8" t="s">
        <v>142</v>
      </c>
      <c r="C38" s="8" t="s">
        <v>219</v>
      </c>
      <c r="D38" s="10">
        <v>45918</v>
      </c>
      <c r="E38" s="8" t="s">
        <v>231</v>
      </c>
      <c r="F38" s="8" t="s">
        <v>223</v>
      </c>
      <c r="G38" s="1" t="str">
        <f>INDEX(Customers!B:B,MATCH(B38,Customers!A:A,0))</f>
        <v>Tunde Davis</v>
      </c>
      <c r="H38" s="1" t="str">
        <f>INDEX(Customers!E:E,MATCH(B38,Customers!A:A,0))</f>
        <v>Male</v>
      </c>
      <c r="I38" s="1">
        <f>INDEX(Customers!C:C,MATCH(B38,Customers!A:A,0))</f>
        <v>57</v>
      </c>
      <c r="J38" s="1" t="str">
        <f>INDEX(Customers!D:D,MATCH(B38,Customers!A:A,0))</f>
        <v>Abeokuta</v>
      </c>
      <c r="K38" s="1" t="str">
        <f>INDEX(Products!B:B,MATCH(C38,Products!A:A,0))</f>
        <v>Accessories</v>
      </c>
      <c r="L38" s="1" t="str">
        <f>INDEX(Products!C:C,MATCH(C38,Products!A:A,0))</f>
        <v>Waist Belt</v>
      </c>
      <c r="M38" s="1">
        <f>INDEX(Products!D:D,MATCH(C38,Products!A:A,0))</f>
        <v>33</v>
      </c>
      <c r="N38" s="1" t="str">
        <f t="shared" si="0"/>
        <v>Fall</v>
      </c>
      <c r="O38" s="1" t="str">
        <f t="shared" si="1"/>
        <v>40-60</v>
      </c>
      <c r="P38" s="1" t="str">
        <f t="shared" si="2"/>
        <v>Yes</v>
      </c>
      <c r="Q38" s="17" t="str">
        <f t="shared" si="3"/>
        <v>Used Code</v>
      </c>
    </row>
    <row r="39" spans="1:17" x14ac:dyDescent="0.25">
      <c r="A39" s="8">
        <v>5079</v>
      </c>
      <c r="B39" s="8" t="s">
        <v>138</v>
      </c>
      <c r="C39" s="8" t="s">
        <v>198</v>
      </c>
      <c r="D39" s="10">
        <v>45989</v>
      </c>
      <c r="E39" s="8" t="s">
        <v>353</v>
      </c>
      <c r="F39" s="8"/>
      <c r="G39" s="1" t="str">
        <f>INDEX(Customers!B:B,MATCH(B39,Customers!A:A,0))</f>
        <v>Kevin Wilson</v>
      </c>
      <c r="H39" s="1" t="str">
        <f>INDEX(Customers!E:E,MATCH(B39,Customers!A:A,0))</f>
        <v>Male</v>
      </c>
      <c r="I39" s="1">
        <f>INDEX(Customers!C:C,MATCH(B39,Customers!A:A,0))</f>
        <v>24</v>
      </c>
      <c r="J39" s="1" t="str">
        <f>INDEX(Customers!D:D,MATCH(B39,Customers!A:A,0))</f>
        <v>Kaduna</v>
      </c>
      <c r="K39" s="1" t="str">
        <f>INDEX(Products!B:B,MATCH(C39,Products!A:A,0))</f>
        <v>Clothing</v>
      </c>
      <c r="L39" s="1" t="str">
        <f>INDEX(Products!C:C,MATCH(C39,Products!A:A,0))</f>
        <v>Knit Sweater</v>
      </c>
      <c r="M39" s="1">
        <f>INDEX(Products!D:D,MATCH(C39,Products!A:A,0))</f>
        <v>58</v>
      </c>
      <c r="N39" s="1" t="str">
        <f t="shared" si="0"/>
        <v>Fall</v>
      </c>
      <c r="O39" s="1" t="str">
        <f t="shared" si="1"/>
        <v>20-40</v>
      </c>
      <c r="P39" s="1" t="str">
        <f t="shared" si="2"/>
        <v>Yes</v>
      </c>
      <c r="Q39" s="17" t="str">
        <f t="shared" si="3"/>
        <v>No Code</v>
      </c>
    </row>
    <row r="40" spans="1:17" x14ac:dyDescent="0.25">
      <c r="A40" s="8">
        <v>5163</v>
      </c>
      <c r="B40" s="8" t="s">
        <v>85</v>
      </c>
      <c r="C40" s="8" t="s">
        <v>211</v>
      </c>
      <c r="D40" s="10">
        <v>45825</v>
      </c>
      <c r="E40" s="8" t="s">
        <v>352</v>
      </c>
      <c r="F40" s="8"/>
      <c r="G40" s="1" t="str">
        <f>INDEX(Customers!B:B,MATCH(B40,Customers!A:A,0))</f>
        <v>Blessing Moore</v>
      </c>
      <c r="H40" s="1" t="str">
        <f>INDEX(Customers!E:E,MATCH(B40,Customers!A:A,0))</f>
        <v>Female</v>
      </c>
      <c r="I40" s="1">
        <f>INDEX(Customers!C:C,MATCH(B40,Customers!A:A,0))</f>
        <v>50</v>
      </c>
      <c r="J40" s="1" t="str">
        <f>INDEX(Customers!D:D,MATCH(B40,Customers!A:A,0))</f>
        <v>Owerri</v>
      </c>
      <c r="K40" s="1" t="str">
        <f>INDEX(Products!B:B,MATCH(C40,Products!A:A,0))</f>
        <v>Accessories</v>
      </c>
      <c r="L40" s="1" t="str">
        <f>INDEX(Products!C:C,MATCH(C40,Products!A:A,0))</f>
        <v>Bangle Set</v>
      </c>
      <c r="M40" s="1">
        <f>INDEX(Products!D:D,MATCH(C40,Products!A:A,0))</f>
        <v>22</v>
      </c>
      <c r="N40" s="1" t="str">
        <f t="shared" si="0"/>
        <v>Summer</v>
      </c>
      <c r="O40" s="1" t="str">
        <f t="shared" si="1"/>
        <v>40-60</v>
      </c>
      <c r="P40" s="1" t="str">
        <f t="shared" si="2"/>
        <v>Yes</v>
      </c>
      <c r="Q40" s="17" t="str">
        <f t="shared" si="3"/>
        <v>No Code</v>
      </c>
    </row>
    <row r="41" spans="1:17" x14ac:dyDescent="0.25">
      <c r="A41" s="8">
        <v>5193</v>
      </c>
      <c r="B41" s="8" t="s">
        <v>35</v>
      </c>
      <c r="C41" s="8" t="s">
        <v>196</v>
      </c>
      <c r="D41" s="10">
        <v>46327</v>
      </c>
      <c r="E41" s="8" t="s">
        <v>234</v>
      </c>
      <c r="F41" s="8"/>
      <c r="G41" s="1" t="str">
        <f>INDEX(Customers!B:B,MATCH(B41,Customers!A:A,0))</f>
        <v>William Wilson</v>
      </c>
      <c r="H41" s="1" t="str">
        <f>INDEX(Customers!E:E,MATCH(B41,Customers!A:A,0))</f>
        <v>Male</v>
      </c>
      <c r="I41" s="1">
        <f>INDEX(Customers!C:C,MATCH(B41,Customers!A:A,0))</f>
        <v>27</v>
      </c>
      <c r="J41" s="1" t="str">
        <f>INDEX(Customers!D:D,MATCH(B41,Customers!A:A,0))</f>
        <v>Owerri</v>
      </c>
      <c r="K41" s="1" t="str">
        <f>INDEX(Products!B:B,MATCH(C41,Products!A:A,0))</f>
        <v>Clothing</v>
      </c>
      <c r="L41" s="1" t="str">
        <f>INDEX(Products!C:C,MATCH(C41,Products!A:A,0))</f>
        <v>Wrap Skirt</v>
      </c>
      <c r="M41" s="1">
        <f>INDEX(Products!D:D,MATCH(C41,Products!A:A,0))</f>
        <v>42</v>
      </c>
      <c r="N41" s="1" t="str">
        <f t="shared" si="0"/>
        <v>Fall</v>
      </c>
      <c r="O41" s="1" t="str">
        <f t="shared" si="1"/>
        <v>20-40</v>
      </c>
      <c r="P41" s="1" t="str">
        <f t="shared" si="2"/>
        <v>No</v>
      </c>
      <c r="Q41" s="17" t="str">
        <f t="shared" si="3"/>
        <v>No Code</v>
      </c>
    </row>
    <row r="42" spans="1:17" x14ac:dyDescent="0.25">
      <c r="A42" s="8">
        <v>5263</v>
      </c>
      <c r="B42" s="8" t="s">
        <v>142</v>
      </c>
      <c r="C42" s="8" t="s">
        <v>182</v>
      </c>
      <c r="D42" s="10">
        <v>46084</v>
      </c>
      <c r="E42" s="8" t="s">
        <v>353</v>
      </c>
      <c r="F42" s="8"/>
      <c r="G42" s="1" t="str">
        <f>INDEX(Customers!B:B,MATCH(B42,Customers!A:A,0))</f>
        <v>Tunde Davis</v>
      </c>
      <c r="H42" s="1" t="str">
        <f>INDEX(Customers!E:E,MATCH(B42,Customers!A:A,0))</f>
        <v>Male</v>
      </c>
      <c r="I42" s="1">
        <f>INDEX(Customers!C:C,MATCH(B42,Customers!A:A,0))</f>
        <v>57</v>
      </c>
      <c r="J42" s="1" t="str">
        <f>INDEX(Customers!D:D,MATCH(B42,Customers!A:A,0))</f>
        <v>Abeokuta</v>
      </c>
      <c r="K42" s="1" t="str">
        <f>INDEX(Products!B:B,MATCH(C42,Products!A:A,0))</f>
        <v>Clothing</v>
      </c>
      <c r="L42" s="1" t="str">
        <f>INDEX(Products!C:C,MATCH(C42,Products!A:A,0))</f>
        <v>Denim Jacket</v>
      </c>
      <c r="M42" s="1">
        <f>INDEX(Products!D:D,MATCH(C42,Products!A:A,0))</f>
        <v>95</v>
      </c>
      <c r="N42" s="1" t="str">
        <f t="shared" si="0"/>
        <v>Spring</v>
      </c>
      <c r="O42" s="1" t="str">
        <f t="shared" si="1"/>
        <v>40-60</v>
      </c>
      <c r="P42" s="1" t="str">
        <f t="shared" si="2"/>
        <v>Yes</v>
      </c>
      <c r="Q42" s="17" t="str">
        <f t="shared" si="3"/>
        <v>No Code</v>
      </c>
    </row>
    <row r="43" spans="1:17" x14ac:dyDescent="0.25">
      <c r="A43" s="8">
        <v>5161</v>
      </c>
      <c r="B43" s="8" t="s">
        <v>169</v>
      </c>
      <c r="C43" s="8" t="s">
        <v>179</v>
      </c>
      <c r="D43" s="10">
        <v>45971</v>
      </c>
      <c r="E43" s="8" t="s">
        <v>352</v>
      </c>
      <c r="F43" s="8" t="s">
        <v>225</v>
      </c>
      <c r="G43" s="1" t="str">
        <f>INDEX(Customers!B:B,MATCH(B43,Customers!A:A,0))</f>
        <v>Nancy Moore</v>
      </c>
      <c r="H43" s="1" t="str">
        <f>INDEX(Customers!E:E,MATCH(B43,Customers!A:A,0))</f>
        <v>Female</v>
      </c>
      <c r="I43" s="1">
        <f>INDEX(Customers!C:C,MATCH(B43,Customers!A:A,0))</f>
        <v>53</v>
      </c>
      <c r="J43" s="1" t="str">
        <f>INDEX(Customers!D:D,MATCH(B43,Customers!A:A,0))</f>
        <v>Lagos</v>
      </c>
      <c r="K43" s="1" t="str">
        <f>INDEX(Products!B:B,MATCH(C43,Products!A:A,0))</f>
        <v>Clothing</v>
      </c>
      <c r="L43" s="1" t="str">
        <f>INDEX(Products!C:C,MATCH(C43,Products!A:A,0))</f>
        <v>Ankara Dress</v>
      </c>
      <c r="M43" s="1">
        <f>INDEX(Products!D:D,MATCH(C43,Products!A:A,0))</f>
        <v>68</v>
      </c>
      <c r="N43" s="1" t="str">
        <f t="shared" si="0"/>
        <v>Fall</v>
      </c>
      <c r="O43" s="1" t="str">
        <f t="shared" si="1"/>
        <v>40-60</v>
      </c>
      <c r="P43" s="1" t="str">
        <f t="shared" si="2"/>
        <v>Yes</v>
      </c>
      <c r="Q43" s="17" t="str">
        <f t="shared" si="3"/>
        <v>Used Code</v>
      </c>
    </row>
    <row r="44" spans="1:17" x14ac:dyDescent="0.25">
      <c r="A44" s="8">
        <v>5017</v>
      </c>
      <c r="B44" s="8" t="s">
        <v>75</v>
      </c>
      <c r="C44" s="8" t="s">
        <v>186</v>
      </c>
      <c r="D44" s="10">
        <v>46144</v>
      </c>
      <c r="E44" s="8" t="s">
        <v>233</v>
      </c>
      <c r="F44" s="8"/>
      <c r="G44" s="1" t="str">
        <f>INDEX(Customers!B:B,MATCH(B44,Customers!A:A,0))</f>
        <v>David Ibrahim</v>
      </c>
      <c r="H44" s="1" t="str">
        <f>INDEX(Customers!E:E,MATCH(B44,Customers!A:A,0))</f>
        <v>Male</v>
      </c>
      <c r="I44" s="1">
        <f>INDEX(Customers!C:C,MATCH(B44,Customers!A:A,0))</f>
        <v>20</v>
      </c>
      <c r="J44" s="1" t="str">
        <f>INDEX(Customers!D:D,MATCH(B44,Customers!A:A,0))</f>
        <v>Owerri</v>
      </c>
      <c r="K44" s="1" t="str">
        <f>INDEX(Products!B:B,MATCH(C44,Products!A:A,0))</f>
        <v>Clothing</v>
      </c>
      <c r="L44" s="1" t="str">
        <f>INDEX(Products!C:C,MATCH(C44,Products!A:A,0))</f>
        <v>Maxi Gown</v>
      </c>
      <c r="M44" s="1">
        <f>INDEX(Products!D:D,MATCH(C44,Products!A:A,0))</f>
        <v>120</v>
      </c>
      <c r="N44" s="1" t="str">
        <f t="shared" si="0"/>
        <v>Spring</v>
      </c>
      <c r="O44" s="1" t="str">
        <f t="shared" si="1"/>
        <v>20-40</v>
      </c>
      <c r="P44" s="1" t="str">
        <f t="shared" si="2"/>
        <v>No</v>
      </c>
      <c r="Q44" s="17" t="str">
        <f t="shared" si="3"/>
        <v>No Code</v>
      </c>
    </row>
    <row r="45" spans="1:17" x14ac:dyDescent="0.25">
      <c r="A45" s="8">
        <v>5139</v>
      </c>
      <c r="B45" s="8" t="s">
        <v>88</v>
      </c>
      <c r="C45" s="8" t="s">
        <v>200</v>
      </c>
      <c r="D45" s="10">
        <v>46157</v>
      </c>
      <c r="E45" s="8" t="s">
        <v>233</v>
      </c>
      <c r="F45" s="8" t="s">
        <v>225</v>
      </c>
      <c r="G45" s="1" t="str">
        <f>INDEX(Customers!B:B,MATCH(B45,Customers!A:A,0))</f>
        <v>Amara Chukwu</v>
      </c>
      <c r="H45" s="1" t="str">
        <f>INDEX(Customers!E:E,MATCH(B45,Customers!A:A,0))</f>
        <v>Female</v>
      </c>
      <c r="I45" s="1">
        <f>INDEX(Customers!C:C,MATCH(B45,Customers!A:A,0))</f>
        <v>59</v>
      </c>
      <c r="J45" s="1" t="str">
        <f>INDEX(Customers!D:D,MATCH(B45,Customers!A:A,0))</f>
        <v>Abuja</v>
      </c>
      <c r="K45" s="1" t="str">
        <f>INDEX(Products!B:B,MATCH(C45,Products!A:A,0))</f>
        <v>Accessories</v>
      </c>
      <c r="L45" s="1" t="str">
        <f>INDEX(Products!C:C,MATCH(C45,Products!A:A,0))</f>
        <v>Beaded Necklace</v>
      </c>
      <c r="M45" s="1">
        <f>INDEX(Products!D:D,MATCH(C45,Products!A:A,0))</f>
        <v>25</v>
      </c>
      <c r="N45" s="1" t="str">
        <f t="shared" si="0"/>
        <v>Spring</v>
      </c>
      <c r="O45" s="1" t="str">
        <f t="shared" si="1"/>
        <v>40-60</v>
      </c>
      <c r="P45" s="1" t="str">
        <f t="shared" si="2"/>
        <v>No</v>
      </c>
      <c r="Q45" s="17" t="str">
        <f t="shared" si="3"/>
        <v>Used Code</v>
      </c>
    </row>
    <row r="46" spans="1:17" x14ac:dyDescent="0.25">
      <c r="A46" s="8">
        <v>5084</v>
      </c>
      <c r="B46" s="8" t="s">
        <v>143</v>
      </c>
      <c r="C46" s="8" t="s">
        <v>213</v>
      </c>
      <c r="D46" s="10">
        <v>46014</v>
      </c>
      <c r="E46" s="8" t="s">
        <v>231</v>
      </c>
      <c r="F46" s="8"/>
      <c r="G46" s="1" t="str">
        <f>INDEX(Customers!B:B,MATCH(B46,Customers!A:A,0))</f>
        <v>Grace Okafor</v>
      </c>
      <c r="H46" s="1" t="str">
        <f>INDEX(Customers!E:E,MATCH(B46,Customers!A:A,0))</f>
        <v>Female</v>
      </c>
      <c r="I46" s="1">
        <f>INDEX(Customers!C:C,MATCH(B46,Customers!A:A,0))</f>
        <v>54</v>
      </c>
      <c r="J46" s="1" t="str">
        <f>INDEX(Customers!D:D,MATCH(B46,Customers!A:A,0))</f>
        <v>Port Harcourt</v>
      </c>
      <c r="K46" s="1" t="str">
        <f>INDEX(Products!B:B,MATCH(C46,Products!A:A,0))</f>
        <v>Accessories</v>
      </c>
      <c r="L46" s="1" t="str">
        <f>INDEX(Products!C:C,MATCH(C46,Products!A:A,0))</f>
        <v>Ankle Boots</v>
      </c>
      <c r="M46" s="1">
        <f>INDEX(Products!D:D,MATCH(C46,Products!A:A,0))</f>
        <v>110</v>
      </c>
      <c r="N46" s="1" t="str">
        <f t="shared" si="0"/>
        <v>Winter</v>
      </c>
      <c r="O46" s="1" t="str">
        <f t="shared" si="1"/>
        <v>40-60</v>
      </c>
      <c r="P46" s="1" t="str">
        <f t="shared" si="2"/>
        <v>No</v>
      </c>
      <c r="Q46" s="17" t="str">
        <f t="shared" si="3"/>
        <v>No Code</v>
      </c>
    </row>
    <row r="47" spans="1:17" x14ac:dyDescent="0.25">
      <c r="A47" s="8">
        <v>5238</v>
      </c>
      <c r="B47" s="8" t="s">
        <v>26</v>
      </c>
      <c r="C47" s="8" t="s">
        <v>198</v>
      </c>
      <c r="D47" s="10">
        <v>45980</v>
      </c>
      <c r="E47" s="8" t="s">
        <v>233</v>
      </c>
      <c r="F47" s="8" t="s">
        <v>226</v>
      </c>
      <c r="G47" s="1" t="str">
        <f>INDEX(Customers!B:B,MATCH(B47,Customers!A:A,0))</f>
        <v>Blessing Moore</v>
      </c>
      <c r="H47" s="1" t="str">
        <f>INDEX(Customers!E:E,MATCH(B47,Customers!A:A,0))</f>
        <v>Female</v>
      </c>
      <c r="I47" s="1">
        <f>INDEX(Customers!C:C,MATCH(B47,Customers!A:A,0))</f>
        <v>18</v>
      </c>
      <c r="J47" s="1" t="str">
        <f>INDEX(Customers!D:D,MATCH(B47,Customers!A:A,0))</f>
        <v>Kano</v>
      </c>
      <c r="K47" s="1" t="str">
        <f>INDEX(Products!B:B,MATCH(C47,Products!A:A,0))</f>
        <v>Clothing</v>
      </c>
      <c r="L47" s="1" t="str">
        <f>INDEX(Products!C:C,MATCH(C47,Products!A:A,0))</f>
        <v>Knit Sweater</v>
      </c>
      <c r="M47" s="1">
        <f>INDEX(Products!D:D,MATCH(C47,Products!A:A,0))</f>
        <v>58</v>
      </c>
      <c r="N47" s="1" t="str">
        <f t="shared" si="0"/>
        <v>Fall</v>
      </c>
      <c r="O47" s="1" t="str">
        <f t="shared" si="1"/>
        <v>&lt;20</v>
      </c>
      <c r="P47" s="1" t="str">
        <f t="shared" si="2"/>
        <v>Yes</v>
      </c>
      <c r="Q47" s="17" t="str">
        <f t="shared" si="3"/>
        <v>Used Code</v>
      </c>
    </row>
    <row r="48" spans="1:17" x14ac:dyDescent="0.25">
      <c r="A48" s="8">
        <v>5285</v>
      </c>
      <c r="B48" s="8" t="s">
        <v>160</v>
      </c>
      <c r="C48" s="8" t="s">
        <v>184</v>
      </c>
      <c r="D48" s="10">
        <v>45824</v>
      </c>
      <c r="E48" s="8" t="s">
        <v>234</v>
      </c>
      <c r="F48" s="8"/>
      <c r="G48" s="1" t="str">
        <f>INDEX(Customers!B:B,MATCH(B48,Customers!A:A,0))</f>
        <v>Adaeze Eze</v>
      </c>
      <c r="H48" s="1" t="str">
        <f>INDEX(Customers!E:E,MATCH(B48,Customers!A:A,0))</f>
        <v>Female</v>
      </c>
      <c r="I48" s="1">
        <f>INDEX(Customers!C:C,MATCH(B48,Customers!A:A,0))</f>
        <v>18</v>
      </c>
      <c r="J48" s="1" t="str">
        <f>INDEX(Customers!D:D,MATCH(B48,Customers!A:A,0))</f>
        <v>Kaduna</v>
      </c>
      <c r="K48" s="1" t="str">
        <f>INDEX(Products!B:B,MATCH(C48,Products!A:A,0))</f>
        <v>Clothing</v>
      </c>
      <c r="L48" s="1" t="str">
        <f>INDEX(Products!C:C,MATCH(C48,Products!A:A,0))</f>
        <v>Silk Blouse</v>
      </c>
      <c r="M48" s="1">
        <f>INDEX(Products!D:D,MATCH(C48,Products!A:A,0))</f>
        <v>54</v>
      </c>
      <c r="N48" s="1" t="str">
        <f t="shared" si="0"/>
        <v>Summer</v>
      </c>
      <c r="O48" s="1" t="str">
        <f t="shared" si="1"/>
        <v>&lt;20</v>
      </c>
      <c r="P48" s="1" t="str">
        <f t="shared" si="2"/>
        <v>Yes</v>
      </c>
      <c r="Q48" s="17" t="str">
        <f t="shared" si="3"/>
        <v>No Code</v>
      </c>
    </row>
    <row r="49" spans="1:17" x14ac:dyDescent="0.25">
      <c r="A49" s="8">
        <v>5051</v>
      </c>
      <c r="B49" s="8" t="s">
        <v>152</v>
      </c>
      <c r="C49" s="8" t="s">
        <v>182</v>
      </c>
      <c r="D49" s="10">
        <v>45959</v>
      </c>
      <c r="E49" s="8" t="s">
        <v>231</v>
      </c>
      <c r="F49" s="8"/>
      <c r="G49" s="1" t="str">
        <f>INDEX(Customers!B:B,MATCH(B49,Customers!A:A,0))</f>
        <v>James Smith</v>
      </c>
      <c r="H49" s="1" t="str">
        <f>INDEX(Customers!E:E,MATCH(B49,Customers!A:A,0))</f>
        <v>Male</v>
      </c>
      <c r="I49" s="1">
        <f>INDEX(Customers!C:C,MATCH(B49,Customers!A:A,0))</f>
        <v>37</v>
      </c>
      <c r="J49" s="1" t="str">
        <f>INDEX(Customers!D:D,MATCH(B49,Customers!A:A,0))</f>
        <v>Abeokuta</v>
      </c>
      <c r="K49" s="1" t="str">
        <f>INDEX(Products!B:B,MATCH(C49,Products!A:A,0))</f>
        <v>Clothing</v>
      </c>
      <c r="L49" s="1" t="str">
        <f>INDEX(Products!C:C,MATCH(C49,Products!A:A,0))</f>
        <v>Denim Jacket</v>
      </c>
      <c r="M49" s="1">
        <f>INDEX(Products!D:D,MATCH(C49,Products!A:A,0))</f>
        <v>95</v>
      </c>
      <c r="N49" s="1" t="str">
        <f t="shared" si="0"/>
        <v>Fall</v>
      </c>
      <c r="O49" s="1" t="str">
        <f t="shared" si="1"/>
        <v>20-40</v>
      </c>
      <c r="P49" s="1" t="str">
        <f t="shared" si="2"/>
        <v>Yes</v>
      </c>
      <c r="Q49" s="17" t="str">
        <f t="shared" si="3"/>
        <v>No Code</v>
      </c>
    </row>
    <row r="50" spans="1:17" x14ac:dyDescent="0.25">
      <c r="A50" s="8">
        <v>5260</v>
      </c>
      <c r="B50" s="8" t="s">
        <v>142</v>
      </c>
      <c r="C50" s="8" t="s">
        <v>188</v>
      </c>
      <c r="D50" s="10">
        <v>46140</v>
      </c>
      <c r="E50" s="8" t="s">
        <v>353</v>
      </c>
      <c r="F50" s="8"/>
      <c r="G50" s="1" t="str">
        <f>INDEX(Customers!B:B,MATCH(B50,Customers!A:A,0))</f>
        <v>Tunde Davis</v>
      </c>
      <c r="H50" s="1" t="str">
        <f>INDEX(Customers!E:E,MATCH(B50,Customers!A:A,0))</f>
        <v>Male</v>
      </c>
      <c r="I50" s="1">
        <f>INDEX(Customers!C:C,MATCH(B50,Customers!A:A,0))</f>
        <v>57</v>
      </c>
      <c r="J50" s="1" t="str">
        <f>INDEX(Customers!D:D,MATCH(B50,Customers!A:A,0))</f>
        <v>Abeokuta</v>
      </c>
      <c r="K50" s="1" t="str">
        <f>INDEX(Products!B:B,MATCH(C50,Products!A:A,0))</f>
        <v>Clothing</v>
      </c>
      <c r="L50" s="1" t="str">
        <f>INDEX(Products!C:C,MATCH(C50,Products!A:A,0))</f>
        <v>Linen Trousers</v>
      </c>
      <c r="M50" s="1">
        <f>INDEX(Products!D:D,MATCH(C50,Products!A:A,0))</f>
        <v>47</v>
      </c>
      <c r="N50" s="1" t="str">
        <f t="shared" si="0"/>
        <v>Spring</v>
      </c>
      <c r="O50" s="1" t="str">
        <f t="shared" si="1"/>
        <v>40-60</v>
      </c>
      <c r="P50" s="1" t="str">
        <f t="shared" si="2"/>
        <v>Yes</v>
      </c>
      <c r="Q50" s="17" t="str">
        <f t="shared" si="3"/>
        <v>No Code</v>
      </c>
    </row>
    <row r="51" spans="1:17" x14ac:dyDescent="0.25">
      <c r="A51" s="8">
        <v>5173</v>
      </c>
      <c r="B51" s="8" t="s">
        <v>79</v>
      </c>
      <c r="C51" s="8" t="s">
        <v>192</v>
      </c>
      <c r="D51" s="10">
        <v>45993</v>
      </c>
      <c r="E51" s="8" t="s">
        <v>233</v>
      </c>
      <c r="F51" s="8" t="s">
        <v>224</v>
      </c>
      <c r="G51" s="1" t="str">
        <f>INDEX(Customers!B:B,MATCH(B51,Customers!A:A,0))</f>
        <v>Tunde Eze</v>
      </c>
      <c r="H51" s="1" t="str">
        <f>INDEX(Customers!E:E,MATCH(B51,Customers!A:A,0))</f>
        <v>Male</v>
      </c>
      <c r="I51" s="1">
        <f>INDEX(Customers!C:C,MATCH(B51,Customers!A:A,0))</f>
        <v>26</v>
      </c>
      <c r="J51" s="1" t="str">
        <f>INDEX(Customers!D:D,MATCH(B51,Customers!A:A,0))</f>
        <v>Kaduna</v>
      </c>
      <c r="K51" s="1" t="str">
        <f>INDEX(Products!B:B,MATCH(C51,Products!A:A,0))</f>
        <v>Clothing</v>
      </c>
      <c r="L51" s="1" t="str">
        <f>INDEX(Products!C:C,MATCH(C51,Products!A:A,0))</f>
        <v>Blazer</v>
      </c>
      <c r="M51" s="1">
        <f>INDEX(Products!D:D,MATCH(C51,Products!A:A,0))</f>
        <v>135</v>
      </c>
      <c r="N51" s="1" t="str">
        <f t="shared" si="0"/>
        <v>Winter</v>
      </c>
      <c r="O51" s="1" t="str">
        <f t="shared" si="1"/>
        <v>20-40</v>
      </c>
      <c r="P51" s="1" t="str">
        <f t="shared" si="2"/>
        <v>Yes</v>
      </c>
      <c r="Q51" s="17" t="str">
        <f t="shared" si="3"/>
        <v>Used Code</v>
      </c>
    </row>
    <row r="52" spans="1:17" x14ac:dyDescent="0.25">
      <c r="A52" s="8">
        <v>5164</v>
      </c>
      <c r="B52" s="8" t="s">
        <v>85</v>
      </c>
      <c r="C52" s="8" t="s">
        <v>188</v>
      </c>
      <c r="D52" s="10">
        <v>45938</v>
      </c>
      <c r="E52" s="8" t="s">
        <v>234</v>
      </c>
      <c r="F52" s="8"/>
      <c r="G52" s="1" t="str">
        <f>INDEX(Customers!B:B,MATCH(B52,Customers!A:A,0))</f>
        <v>Blessing Moore</v>
      </c>
      <c r="H52" s="1" t="str">
        <f>INDEX(Customers!E:E,MATCH(B52,Customers!A:A,0))</f>
        <v>Female</v>
      </c>
      <c r="I52" s="1">
        <f>INDEX(Customers!C:C,MATCH(B52,Customers!A:A,0))</f>
        <v>50</v>
      </c>
      <c r="J52" s="1" t="str">
        <f>INDEX(Customers!D:D,MATCH(B52,Customers!A:A,0))</f>
        <v>Owerri</v>
      </c>
      <c r="K52" s="1" t="str">
        <f>INDEX(Products!B:B,MATCH(C52,Products!A:A,0))</f>
        <v>Clothing</v>
      </c>
      <c r="L52" s="1" t="str">
        <f>INDEX(Products!C:C,MATCH(C52,Products!A:A,0))</f>
        <v>Linen Trousers</v>
      </c>
      <c r="M52" s="1">
        <f>INDEX(Products!D:D,MATCH(C52,Products!A:A,0))</f>
        <v>47</v>
      </c>
      <c r="N52" s="1" t="str">
        <f t="shared" si="0"/>
        <v>Fall</v>
      </c>
      <c r="O52" s="1" t="str">
        <f t="shared" si="1"/>
        <v>40-60</v>
      </c>
      <c r="P52" s="1" t="str">
        <f t="shared" si="2"/>
        <v>Yes</v>
      </c>
      <c r="Q52" s="17" t="str">
        <f t="shared" si="3"/>
        <v>No Code</v>
      </c>
    </row>
    <row r="53" spans="1:17" x14ac:dyDescent="0.25">
      <c r="A53" s="8">
        <v>5294</v>
      </c>
      <c r="B53" s="8" t="s">
        <v>11</v>
      </c>
      <c r="C53" s="8" t="s">
        <v>184</v>
      </c>
      <c r="D53" s="10">
        <v>46081</v>
      </c>
      <c r="E53" s="8" t="s">
        <v>231</v>
      </c>
      <c r="F53" s="8" t="s">
        <v>225</v>
      </c>
      <c r="G53" s="1" t="str">
        <f>INDEX(Customers!B:B,MATCH(B53,Customers!A:A,0))</f>
        <v>Daniel White</v>
      </c>
      <c r="H53" s="1" t="str">
        <f>INDEX(Customers!E:E,MATCH(B53,Customers!A:A,0))</f>
        <v>Male</v>
      </c>
      <c r="I53" s="1">
        <f>INDEX(Customers!C:C,MATCH(B53,Customers!A:A,0))</f>
        <v>20</v>
      </c>
      <c r="J53" s="1" t="str">
        <f>INDEX(Customers!D:D,MATCH(B53,Customers!A:A,0))</f>
        <v>Uyo</v>
      </c>
      <c r="K53" s="1" t="str">
        <f>INDEX(Products!B:B,MATCH(C53,Products!A:A,0))</f>
        <v>Clothing</v>
      </c>
      <c r="L53" s="1" t="str">
        <f>INDEX(Products!C:C,MATCH(C53,Products!A:A,0))</f>
        <v>Silk Blouse</v>
      </c>
      <c r="M53" s="1">
        <f>INDEX(Products!D:D,MATCH(C53,Products!A:A,0))</f>
        <v>54</v>
      </c>
      <c r="N53" s="1" t="str">
        <f t="shared" si="0"/>
        <v>Winter</v>
      </c>
      <c r="O53" s="1" t="str">
        <f t="shared" si="1"/>
        <v>20-40</v>
      </c>
      <c r="P53" s="1" t="str">
        <f t="shared" si="2"/>
        <v>Yes</v>
      </c>
      <c r="Q53" s="17" t="str">
        <f t="shared" si="3"/>
        <v>Used Code</v>
      </c>
    </row>
    <row r="54" spans="1:17" x14ac:dyDescent="0.25">
      <c r="A54" s="8">
        <v>5244</v>
      </c>
      <c r="B54" s="8" t="s">
        <v>135</v>
      </c>
      <c r="C54" s="8" t="s">
        <v>213</v>
      </c>
      <c r="D54" s="10">
        <v>46155</v>
      </c>
      <c r="E54" s="8" t="s">
        <v>233</v>
      </c>
      <c r="F54" s="8"/>
      <c r="G54" s="1" t="str">
        <f>INDEX(Customers!B:B,MATCH(B54,Customers!A:A,0))</f>
        <v>Chioma Wilson</v>
      </c>
      <c r="H54" s="1" t="str">
        <f>INDEX(Customers!E:E,MATCH(B54,Customers!A:A,0))</f>
        <v>Female</v>
      </c>
      <c r="I54" s="1">
        <f>INDEX(Customers!C:C,MATCH(B54,Customers!A:A,0))</f>
        <v>23</v>
      </c>
      <c r="J54" s="1" t="str">
        <f>INDEX(Customers!D:D,MATCH(B54,Customers!A:A,0))</f>
        <v>Kaduna</v>
      </c>
      <c r="K54" s="1" t="str">
        <f>INDEX(Products!B:B,MATCH(C54,Products!A:A,0))</f>
        <v>Accessories</v>
      </c>
      <c r="L54" s="1" t="str">
        <f>INDEX(Products!C:C,MATCH(C54,Products!A:A,0))</f>
        <v>Ankle Boots</v>
      </c>
      <c r="M54" s="1">
        <f>INDEX(Products!D:D,MATCH(C54,Products!A:A,0))</f>
        <v>110</v>
      </c>
      <c r="N54" s="1" t="str">
        <f t="shared" si="0"/>
        <v>Spring</v>
      </c>
      <c r="O54" s="1" t="str">
        <f t="shared" si="1"/>
        <v>20-40</v>
      </c>
      <c r="P54" s="1" t="str">
        <f t="shared" si="2"/>
        <v>Yes</v>
      </c>
      <c r="Q54" s="17" t="str">
        <f t="shared" si="3"/>
        <v>No Code</v>
      </c>
    </row>
    <row r="55" spans="1:17" x14ac:dyDescent="0.25">
      <c r="A55" s="8">
        <v>5245</v>
      </c>
      <c r="B55" s="8" t="s">
        <v>135</v>
      </c>
      <c r="C55" s="8" t="s">
        <v>215</v>
      </c>
      <c r="D55" s="10">
        <v>45973</v>
      </c>
      <c r="E55" s="8" t="s">
        <v>353</v>
      </c>
      <c r="F55" s="8"/>
      <c r="G55" s="1" t="str">
        <f>INDEX(Customers!B:B,MATCH(B55,Customers!A:A,0))</f>
        <v>Chioma Wilson</v>
      </c>
      <c r="H55" s="1" t="str">
        <f>INDEX(Customers!E:E,MATCH(B55,Customers!A:A,0))</f>
        <v>Female</v>
      </c>
      <c r="I55" s="1">
        <f>INDEX(Customers!C:C,MATCH(B55,Customers!A:A,0))</f>
        <v>23</v>
      </c>
      <c r="J55" s="1" t="str">
        <f>INDEX(Customers!D:D,MATCH(B55,Customers!A:A,0))</f>
        <v>Kaduna</v>
      </c>
      <c r="K55" s="1" t="str">
        <f>INDEX(Products!B:B,MATCH(C55,Products!A:A,0))</f>
        <v>Accessories</v>
      </c>
      <c r="L55" s="1" t="str">
        <f>INDEX(Products!C:C,MATCH(C55,Products!A:A,0))</f>
        <v>Clutch Purse</v>
      </c>
      <c r="M55" s="1">
        <f>INDEX(Products!D:D,MATCH(C55,Products!A:A,0))</f>
        <v>48</v>
      </c>
      <c r="N55" s="1" t="str">
        <f t="shared" si="0"/>
        <v>Fall</v>
      </c>
      <c r="O55" s="1" t="str">
        <f t="shared" si="1"/>
        <v>20-40</v>
      </c>
      <c r="P55" s="1" t="str">
        <f t="shared" si="2"/>
        <v>Yes</v>
      </c>
      <c r="Q55" s="17" t="str">
        <f t="shared" si="3"/>
        <v>No Code</v>
      </c>
    </row>
    <row r="56" spans="1:17" x14ac:dyDescent="0.25">
      <c r="A56" s="8">
        <v>5174</v>
      </c>
      <c r="B56" s="8" t="s">
        <v>79</v>
      </c>
      <c r="C56" s="8" t="s">
        <v>188</v>
      </c>
      <c r="D56" s="10">
        <v>45813</v>
      </c>
      <c r="E56" s="8" t="s">
        <v>231</v>
      </c>
      <c r="F56" s="8" t="s">
        <v>225</v>
      </c>
      <c r="G56" s="1" t="str">
        <f>INDEX(Customers!B:B,MATCH(B56,Customers!A:A,0))</f>
        <v>Tunde Eze</v>
      </c>
      <c r="H56" s="1" t="str">
        <f>INDEX(Customers!E:E,MATCH(B56,Customers!A:A,0))</f>
        <v>Male</v>
      </c>
      <c r="I56" s="1">
        <f>INDEX(Customers!C:C,MATCH(B56,Customers!A:A,0))</f>
        <v>26</v>
      </c>
      <c r="J56" s="1" t="str">
        <f>INDEX(Customers!D:D,MATCH(B56,Customers!A:A,0))</f>
        <v>Kaduna</v>
      </c>
      <c r="K56" s="1" t="str">
        <f>INDEX(Products!B:B,MATCH(C56,Products!A:A,0))</f>
        <v>Clothing</v>
      </c>
      <c r="L56" s="1" t="str">
        <f>INDEX(Products!C:C,MATCH(C56,Products!A:A,0))</f>
        <v>Linen Trousers</v>
      </c>
      <c r="M56" s="1">
        <f>INDEX(Products!D:D,MATCH(C56,Products!A:A,0))</f>
        <v>47</v>
      </c>
      <c r="N56" s="1" t="str">
        <f t="shared" si="0"/>
        <v>Summer</v>
      </c>
      <c r="O56" s="1" t="str">
        <f t="shared" si="1"/>
        <v>20-40</v>
      </c>
      <c r="P56" s="1" t="str">
        <f t="shared" si="2"/>
        <v>Yes</v>
      </c>
      <c r="Q56" s="17" t="str">
        <f t="shared" si="3"/>
        <v>Used Code</v>
      </c>
    </row>
    <row r="57" spans="1:17" x14ac:dyDescent="0.25">
      <c r="A57" s="8">
        <v>5150</v>
      </c>
      <c r="B57" s="8" t="s">
        <v>235</v>
      </c>
      <c r="C57" s="8" t="s">
        <v>198</v>
      </c>
      <c r="D57" s="10">
        <v>45983</v>
      </c>
      <c r="E57" s="8" t="s">
        <v>352</v>
      </c>
      <c r="F57" s="8" t="s">
        <v>226</v>
      </c>
      <c r="G57" s="1" t="str">
        <f>INDEX(Customers!B:B,MATCH(B57,Customers!A:A,0))</f>
        <v>Ngozi Williams</v>
      </c>
      <c r="H57" s="1" t="str">
        <f>INDEX(Customers!E:E,MATCH(B57,Customers!A:A,0))</f>
        <v>Female</v>
      </c>
      <c r="I57" s="1">
        <f>INDEX(Customers!C:C,MATCH(B57,Customers!A:A,0))</f>
        <v>27</v>
      </c>
      <c r="J57" s="1" t="str">
        <f>INDEX(Customers!D:D,MATCH(B57,Customers!A:A,0))</f>
        <v>Kaduna</v>
      </c>
      <c r="K57" s="1" t="str">
        <f>INDEX(Products!B:B,MATCH(C57,Products!A:A,0))</f>
        <v>Clothing</v>
      </c>
      <c r="L57" s="1" t="str">
        <f>INDEX(Products!C:C,MATCH(C57,Products!A:A,0))</f>
        <v>Knit Sweater</v>
      </c>
      <c r="M57" s="1">
        <f>INDEX(Products!D:D,MATCH(C57,Products!A:A,0))</f>
        <v>58</v>
      </c>
      <c r="N57" s="1" t="str">
        <f t="shared" si="0"/>
        <v>Fall</v>
      </c>
      <c r="O57" s="1" t="str">
        <f t="shared" si="1"/>
        <v>20-40</v>
      </c>
      <c r="P57" s="1" t="str">
        <f t="shared" si="2"/>
        <v>Yes</v>
      </c>
      <c r="Q57" s="17" t="str">
        <f t="shared" si="3"/>
        <v>Used Code</v>
      </c>
    </row>
    <row r="58" spans="1:17" x14ac:dyDescent="0.25">
      <c r="A58" s="8">
        <v>5065</v>
      </c>
      <c r="B58" s="8" t="s">
        <v>54</v>
      </c>
      <c r="C58" s="8" t="s">
        <v>203</v>
      </c>
      <c r="D58" s="10">
        <v>45936</v>
      </c>
      <c r="E58" s="8" t="s">
        <v>353</v>
      </c>
      <c r="F58" s="8" t="s">
        <v>224</v>
      </c>
      <c r="G58" s="1" t="str">
        <f>INDEX(Customers!B:B,MATCH(B58,Customers!A:A,0))</f>
        <v>Aisha Garba</v>
      </c>
      <c r="H58" s="1" t="str">
        <f>INDEX(Customers!E:E,MATCH(B58,Customers!A:A,0))</f>
        <v>Female</v>
      </c>
      <c r="I58" s="1">
        <f>INDEX(Customers!C:C,MATCH(B58,Customers!A:A,0))</f>
        <v>32</v>
      </c>
      <c r="J58" s="1" t="str">
        <f>INDEX(Customers!D:D,MATCH(B58,Customers!A:A,0))</f>
        <v>Lagos</v>
      </c>
      <c r="K58" s="1" t="str">
        <f>INDEX(Products!B:B,MATCH(C58,Products!A:A,0))</f>
        <v>Accessories</v>
      </c>
      <c r="L58" s="1" t="str">
        <f>INDEX(Products!C:C,MATCH(C58,Products!A:A,0))</f>
        <v>Leather Handbag</v>
      </c>
      <c r="M58" s="1">
        <f>INDEX(Products!D:D,MATCH(C58,Products!A:A,0))</f>
        <v>145</v>
      </c>
      <c r="N58" s="1" t="str">
        <f t="shared" si="0"/>
        <v>Fall</v>
      </c>
      <c r="O58" s="1" t="str">
        <f t="shared" si="1"/>
        <v>20-40</v>
      </c>
      <c r="P58" s="1" t="str">
        <f t="shared" si="2"/>
        <v>Yes</v>
      </c>
      <c r="Q58" s="17" t="str">
        <f t="shared" si="3"/>
        <v>Used Code</v>
      </c>
    </row>
    <row r="59" spans="1:17" x14ac:dyDescent="0.25">
      <c r="A59" s="8">
        <v>5248</v>
      </c>
      <c r="B59" s="8" t="s">
        <v>232</v>
      </c>
      <c r="C59" s="8" t="s">
        <v>211</v>
      </c>
      <c r="D59" s="10">
        <v>46172</v>
      </c>
      <c r="E59" s="8" t="s">
        <v>352</v>
      </c>
      <c r="F59" s="8" t="s">
        <v>226</v>
      </c>
      <c r="G59" s="1" t="str">
        <f>INDEX(Customers!B:B,MATCH(B59,Customers!A:A,0))</f>
        <v>Yusuf Thomas</v>
      </c>
      <c r="H59" s="1" t="str">
        <f>INDEX(Customers!E:E,MATCH(B59,Customers!A:A,0))</f>
        <v>Male</v>
      </c>
      <c r="I59" s="1">
        <f>INDEX(Customers!C:C,MATCH(B59,Customers!A:A,0))</f>
        <v>30</v>
      </c>
      <c r="J59" s="1" t="str">
        <f>INDEX(Customers!D:D,MATCH(B59,Customers!A:A,0))</f>
        <v>Ibadan</v>
      </c>
      <c r="K59" s="1" t="str">
        <f>INDEX(Products!B:B,MATCH(C59,Products!A:A,0))</f>
        <v>Accessories</v>
      </c>
      <c r="L59" s="1" t="str">
        <f>INDEX(Products!C:C,MATCH(C59,Products!A:A,0))</f>
        <v>Bangle Set</v>
      </c>
      <c r="M59" s="1">
        <f>INDEX(Products!D:D,MATCH(C59,Products!A:A,0))</f>
        <v>22</v>
      </c>
      <c r="N59" s="1" t="str">
        <f t="shared" si="0"/>
        <v>Spring</v>
      </c>
      <c r="O59" s="1" t="str">
        <f t="shared" si="1"/>
        <v>20-40</v>
      </c>
      <c r="P59" s="1" t="str">
        <f t="shared" si="2"/>
        <v>Yes</v>
      </c>
      <c r="Q59" s="17" t="str">
        <f t="shared" si="3"/>
        <v>Used Code</v>
      </c>
    </row>
    <row r="60" spans="1:17" x14ac:dyDescent="0.25">
      <c r="A60" s="8">
        <v>5010</v>
      </c>
      <c r="B60" s="8" t="s">
        <v>119</v>
      </c>
      <c r="C60" s="8" t="s">
        <v>186</v>
      </c>
      <c r="D60" s="10">
        <v>46070</v>
      </c>
      <c r="E60" s="8" t="s">
        <v>353</v>
      </c>
      <c r="F60" s="8"/>
      <c r="G60" s="1" t="str">
        <f>INDEX(Customers!B:B,MATCH(B60,Customers!A:A,0))</f>
        <v>Nancy Brown</v>
      </c>
      <c r="H60" s="1" t="str">
        <f>INDEX(Customers!E:E,MATCH(B60,Customers!A:A,0))</f>
        <v>Female</v>
      </c>
      <c r="I60" s="1">
        <f>INDEX(Customers!C:C,MATCH(B60,Customers!A:A,0))</f>
        <v>20</v>
      </c>
      <c r="J60" s="1" t="str">
        <f>INDEX(Customers!D:D,MATCH(B60,Customers!A:A,0))</f>
        <v>Abuja</v>
      </c>
      <c r="K60" s="1" t="str">
        <f>INDEX(Products!B:B,MATCH(C60,Products!A:A,0))</f>
        <v>Clothing</v>
      </c>
      <c r="L60" s="1" t="str">
        <f>INDEX(Products!C:C,MATCH(C60,Products!A:A,0))</f>
        <v>Maxi Gown</v>
      </c>
      <c r="M60" s="1">
        <f>INDEX(Products!D:D,MATCH(C60,Products!A:A,0))</f>
        <v>120</v>
      </c>
      <c r="N60" s="1" t="str">
        <f t="shared" si="0"/>
        <v>Winter</v>
      </c>
      <c r="O60" s="1" t="str">
        <f t="shared" si="1"/>
        <v>20-40</v>
      </c>
      <c r="P60" s="1" t="str">
        <f t="shared" si="2"/>
        <v>Yes</v>
      </c>
      <c r="Q60" s="17" t="str">
        <f t="shared" si="3"/>
        <v>No Code</v>
      </c>
    </row>
    <row r="61" spans="1:17" x14ac:dyDescent="0.25">
      <c r="A61" s="8">
        <v>5027</v>
      </c>
      <c r="B61" s="8" t="s">
        <v>69</v>
      </c>
      <c r="C61" s="8" t="s">
        <v>205</v>
      </c>
      <c r="D61" s="10">
        <v>46040</v>
      </c>
      <c r="E61" s="8" t="s">
        <v>352</v>
      </c>
      <c r="F61" s="8" t="s">
        <v>223</v>
      </c>
      <c r="G61" s="1" t="str">
        <f>INDEX(Customers!B:B,MATCH(B61,Customers!A:A,0))</f>
        <v>Nkechi Bello</v>
      </c>
      <c r="H61" s="1" t="str">
        <f>INDEX(Customers!E:E,MATCH(B61,Customers!A:A,0))</f>
        <v>Female</v>
      </c>
      <c r="I61" s="1">
        <f>INDEX(Customers!C:C,MATCH(B61,Customers!A:A,0))</f>
        <v>53</v>
      </c>
      <c r="J61" s="1" t="str">
        <f>INDEX(Customers!D:D,MATCH(B61,Customers!A:A,0))</f>
        <v>Warri</v>
      </c>
      <c r="K61" s="1" t="str">
        <f>INDEX(Products!B:B,MATCH(C61,Products!A:A,0))</f>
        <v>Accessories</v>
      </c>
      <c r="L61" s="1" t="str">
        <f>INDEX(Products!C:C,MATCH(C61,Products!A:A,0))</f>
        <v>Sunglasses</v>
      </c>
      <c r="M61" s="1">
        <f>INDEX(Products!D:D,MATCH(C61,Products!A:A,0))</f>
        <v>38</v>
      </c>
      <c r="N61" s="1" t="str">
        <f t="shared" si="0"/>
        <v>Winter</v>
      </c>
      <c r="O61" s="1" t="str">
        <f t="shared" si="1"/>
        <v>40-60</v>
      </c>
      <c r="P61" s="1" t="str">
        <f t="shared" si="2"/>
        <v>Yes</v>
      </c>
      <c r="Q61" s="17" t="str">
        <f t="shared" si="3"/>
        <v>Used Code</v>
      </c>
    </row>
    <row r="62" spans="1:17" x14ac:dyDescent="0.25">
      <c r="A62" s="8">
        <v>5112</v>
      </c>
      <c r="B62" s="8" t="s">
        <v>93</v>
      </c>
      <c r="C62" s="8" t="s">
        <v>213</v>
      </c>
      <c r="D62" s="10">
        <v>46161</v>
      </c>
      <c r="E62" s="8" t="s">
        <v>353</v>
      </c>
      <c r="F62" s="8"/>
      <c r="G62" s="1" t="str">
        <f>INDEX(Customers!B:B,MATCH(B62,Customers!A:A,0))</f>
        <v>Brian Chukwu</v>
      </c>
      <c r="H62" s="1" t="str">
        <f>INDEX(Customers!E:E,MATCH(B62,Customers!A:A,0))</f>
        <v>Male</v>
      </c>
      <c r="I62" s="1">
        <f>INDEX(Customers!C:C,MATCH(B62,Customers!A:A,0))</f>
        <v>40</v>
      </c>
      <c r="J62" s="1" t="str">
        <f>INDEX(Customers!D:D,MATCH(B62,Customers!A:A,0))</f>
        <v>Enugu</v>
      </c>
      <c r="K62" s="1" t="str">
        <f>INDEX(Products!B:B,MATCH(C62,Products!A:A,0))</f>
        <v>Accessories</v>
      </c>
      <c r="L62" s="1" t="str">
        <f>INDEX(Products!C:C,MATCH(C62,Products!A:A,0))</f>
        <v>Ankle Boots</v>
      </c>
      <c r="M62" s="1">
        <f>INDEX(Products!D:D,MATCH(C62,Products!A:A,0))</f>
        <v>110</v>
      </c>
      <c r="N62" s="1" t="str">
        <f t="shared" si="0"/>
        <v>Spring</v>
      </c>
      <c r="O62" s="1" t="str">
        <f t="shared" si="1"/>
        <v>40-60</v>
      </c>
      <c r="P62" s="1" t="str">
        <f t="shared" si="2"/>
        <v>Yes</v>
      </c>
      <c r="Q62" s="17" t="str">
        <f t="shared" si="3"/>
        <v>No Code</v>
      </c>
    </row>
    <row r="63" spans="1:17" x14ac:dyDescent="0.25">
      <c r="A63" s="8">
        <v>5216</v>
      </c>
      <c r="B63" s="8" t="s">
        <v>70</v>
      </c>
      <c r="C63" s="8" t="s">
        <v>203</v>
      </c>
      <c r="D63" s="10">
        <v>45818</v>
      </c>
      <c r="E63" s="8" t="s">
        <v>353</v>
      </c>
      <c r="F63" s="8" t="s">
        <v>225</v>
      </c>
      <c r="G63" s="1" t="str">
        <f>INDEX(Customers!B:B,MATCH(B63,Customers!A:A,0))</f>
        <v>Blessing Nwosu</v>
      </c>
      <c r="H63" s="1" t="str">
        <f>INDEX(Customers!E:E,MATCH(B63,Customers!A:A,0))</f>
        <v>Female</v>
      </c>
      <c r="I63" s="1">
        <f>INDEX(Customers!C:C,MATCH(B63,Customers!A:A,0))</f>
        <v>19</v>
      </c>
      <c r="J63" s="1" t="str">
        <f>INDEX(Customers!D:D,MATCH(B63,Customers!A:A,0))</f>
        <v>Kano</v>
      </c>
      <c r="K63" s="1" t="str">
        <f>INDEX(Products!B:B,MATCH(C63,Products!A:A,0))</f>
        <v>Accessories</v>
      </c>
      <c r="L63" s="1" t="str">
        <f>INDEX(Products!C:C,MATCH(C63,Products!A:A,0))</f>
        <v>Leather Handbag</v>
      </c>
      <c r="M63" s="1">
        <f>INDEX(Products!D:D,MATCH(C63,Products!A:A,0))</f>
        <v>145</v>
      </c>
      <c r="N63" s="1" t="str">
        <f t="shared" si="0"/>
        <v>Summer</v>
      </c>
      <c r="O63" s="1" t="str">
        <f t="shared" si="1"/>
        <v>&lt;20</v>
      </c>
      <c r="P63" s="1" t="str">
        <f t="shared" si="2"/>
        <v>No</v>
      </c>
      <c r="Q63" s="17" t="str">
        <f t="shared" si="3"/>
        <v>Used Code</v>
      </c>
    </row>
    <row r="64" spans="1:17" x14ac:dyDescent="0.25">
      <c r="A64" s="8">
        <v>5137</v>
      </c>
      <c r="B64" s="8" t="s">
        <v>123</v>
      </c>
      <c r="C64" s="8" t="s">
        <v>184</v>
      </c>
      <c r="D64" s="10">
        <v>45879</v>
      </c>
      <c r="E64" s="8" t="s">
        <v>352</v>
      </c>
      <c r="F64" s="8" t="s">
        <v>223</v>
      </c>
      <c r="G64" s="1" t="str">
        <f>INDEX(Customers!B:B,MATCH(B64,Customers!A:A,0))</f>
        <v>Tunde Suleiman</v>
      </c>
      <c r="H64" s="1" t="str">
        <f>INDEX(Customers!E:E,MATCH(B64,Customers!A:A,0))</f>
        <v>Male</v>
      </c>
      <c r="I64" s="1">
        <f>INDEX(Customers!C:C,MATCH(B64,Customers!A:A,0))</f>
        <v>53</v>
      </c>
      <c r="J64" s="1" t="str">
        <f>INDEX(Customers!D:D,MATCH(B64,Customers!A:A,0))</f>
        <v>Port Harcourt</v>
      </c>
      <c r="K64" s="1" t="str">
        <f>INDEX(Products!B:B,MATCH(C64,Products!A:A,0))</f>
        <v>Clothing</v>
      </c>
      <c r="L64" s="1" t="str">
        <f>INDEX(Products!C:C,MATCH(C64,Products!A:A,0))</f>
        <v>Silk Blouse</v>
      </c>
      <c r="M64" s="1">
        <f>INDEX(Products!D:D,MATCH(C64,Products!A:A,0))</f>
        <v>54</v>
      </c>
      <c r="N64" s="1" t="str">
        <f t="shared" si="0"/>
        <v>Summer</v>
      </c>
      <c r="O64" s="1" t="str">
        <f t="shared" si="1"/>
        <v>40-60</v>
      </c>
      <c r="P64" s="1" t="str">
        <f t="shared" si="2"/>
        <v>Yes</v>
      </c>
      <c r="Q64" s="17" t="str">
        <f t="shared" si="3"/>
        <v>Used Code</v>
      </c>
    </row>
    <row r="65" spans="1:17" x14ac:dyDescent="0.25">
      <c r="A65" s="8">
        <v>5076</v>
      </c>
      <c r="B65" s="8" t="s">
        <v>100</v>
      </c>
      <c r="C65" s="8" t="s">
        <v>213</v>
      </c>
      <c r="D65" s="10">
        <v>45857</v>
      </c>
      <c r="E65" s="8" t="s">
        <v>353</v>
      </c>
      <c r="F65" s="8"/>
      <c r="G65" s="1" t="str">
        <f>INDEX(Customers!B:B,MATCH(B65,Customers!A:A,0))</f>
        <v>Tunde Jackson</v>
      </c>
      <c r="H65" s="1" t="str">
        <f>INDEX(Customers!E:E,MATCH(B65,Customers!A:A,0))</f>
        <v>Male</v>
      </c>
      <c r="I65" s="1">
        <f>INDEX(Customers!C:C,MATCH(B65,Customers!A:A,0))</f>
        <v>50</v>
      </c>
      <c r="J65" s="1" t="str">
        <f>INDEX(Customers!D:D,MATCH(B65,Customers!A:A,0))</f>
        <v>Uyo</v>
      </c>
      <c r="K65" s="1" t="str">
        <f>INDEX(Products!B:B,MATCH(C65,Products!A:A,0))</f>
        <v>Accessories</v>
      </c>
      <c r="L65" s="1" t="str">
        <f>INDEX(Products!C:C,MATCH(C65,Products!A:A,0))</f>
        <v>Ankle Boots</v>
      </c>
      <c r="M65" s="1">
        <f>INDEX(Products!D:D,MATCH(C65,Products!A:A,0))</f>
        <v>110</v>
      </c>
      <c r="N65" s="1" t="str">
        <f t="shared" si="0"/>
        <v>Summer</v>
      </c>
      <c r="O65" s="1" t="str">
        <f t="shared" si="1"/>
        <v>40-60</v>
      </c>
      <c r="P65" s="1" t="str">
        <f t="shared" si="2"/>
        <v>Yes</v>
      </c>
      <c r="Q65" s="17" t="str">
        <f t="shared" si="3"/>
        <v>No Code</v>
      </c>
    </row>
    <row r="66" spans="1:17" x14ac:dyDescent="0.25">
      <c r="A66" s="8">
        <v>5070</v>
      </c>
      <c r="B66" s="8" t="s">
        <v>113</v>
      </c>
      <c r="C66" s="8" t="s">
        <v>198</v>
      </c>
      <c r="D66" s="10">
        <v>46017</v>
      </c>
      <c r="E66" s="8" t="s">
        <v>352</v>
      </c>
      <c r="F66" s="8" t="s">
        <v>223</v>
      </c>
      <c r="G66" s="1" t="str">
        <f>INDEX(Customers!B:B,MATCH(B66,Customers!A:A,0))</f>
        <v>Musa Williams</v>
      </c>
      <c r="H66" s="1" t="str">
        <f>INDEX(Customers!E:E,MATCH(B66,Customers!A:A,0))</f>
        <v>Male</v>
      </c>
      <c r="I66" s="1">
        <f>INDEX(Customers!C:C,MATCH(B66,Customers!A:A,0))</f>
        <v>34</v>
      </c>
      <c r="J66" s="1" t="str">
        <f>INDEX(Customers!D:D,MATCH(B66,Customers!A:A,0))</f>
        <v>Kano</v>
      </c>
      <c r="K66" s="1" t="str">
        <f>INDEX(Products!B:B,MATCH(C66,Products!A:A,0))</f>
        <v>Clothing</v>
      </c>
      <c r="L66" s="1" t="str">
        <f>INDEX(Products!C:C,MATCH(C66,Products!A:A,0))</f>
        <v>Knit Sweater</v>
      </c>
      <c r="M66" s="1">
        <f>INDEX(Products!D:D,MATCH(C66,Products!A:A,0))</f>
        <v>58</v>
      </c>
      <c r="N66" s="1" t="str">
        <f t="shared" ref="N66:N129" si="4">CHOOSE(MONTH(D66),"Winter","Winter","Spring","Spring","Spring","Summer","Summer","Summer","Fall","Fall","Fall","Winter")</f>
        <v>Winter</v>
      </c>
      <c r="O66" s="1" t="str">
        <f t="shared" ref="O66:O129" si="5">IF(I66&lt;20,"&lt;20",IF(I66&lt;40,"20-40",IF(I66&lt;60,"40-60","60+")))</f>
        <v>20-40</v>
      </c>
      <c r="P66" s="1" t="str">
        <f t="shared" ref="P66:P129" si="6">IF(COUNTIF(B:B,B66)&gt;1,"Yes","No")</f>
        <v>Yes</v>
      </c>
      <c r="Q66" s="17" t="str">
        <f t="shared" ref="Q66:Q129" si="7">IF(F66="","No Code","Used Code")</f>
        <v>Used Code</v>
      </c>
    </row>
    <row r="67" spans="1:17" x14ac:dyDescent="0.25">
      <c r="A67" s="8">
        <v>5275</v>
      </c>
      <c r="B67" s="8" t="s">
        <v>236</v>
      </c>
      <c r="C67" s="8" t="s">
        <v>205</v>
      </c>
      <c r="D67" s="10">
        <v>45891</v>
      </c>
      <c r="E67" s="8" t="s">
        <v>353</v>
      </c>
      <c r="F67" s="8" t="s">
        <v>223</v>
      </c>
      <c r="G67" s="1" t="str">
        <f>INDEX(Customers!B:B,MATCH(B67,Customers!A:A,0))</f>
        <v>Michael Wilson</v>
      </c>
      <c r="H67" s="1" t="str">
        <f>INDEX(Customers!E:E,MATCH(B67,Customers!A:A,0))</f>
        <v>Male</v>
      </c>
      <c r="I67" s="1">
        <f>INDEX(Customers!C:C,MATCH(B67,Customers!A:A,0))</f>
        <v>46</v>
      </c>
      <c r="J67" s="1" t="str">
        <f>INDEX(Customers!D:D,MATCH(B67,Customers!A:A,0))</f>
        <v>Owerri</v>
      </c>
      <c r="K67" s="1" t="str">
        <f>INDEX(Products!B:B,MATCH(C67,Products!A:A,0))</f>
        <v>Accessories</v>
      </c>
      <c r="L67" s="1" t="str">
        <f>INDEX(Products!C:C,MATCH(C67,Products!A:A,0))</f>
        <v>Sunglasses</v>
      </c>
      <c r="M67" s="1">
        <f>INDEX(Products!D:D,MATCH(C67,Products!A:A,0))</f>
        <v>38</v>
      </c>
      <c r="N67" s="1" t="str">
        <f t="shared" si="4"/>
        <v>Summer</v>
      </c>
      <c r="O67" s="1" t="str">
        <f t="shared" si="5"/>
        <v>40-60</v>
      </c>
      <c r="P67" s="1" t="str">
        <f t="shared" si="6"/>
        <v>Yes</v>
      </c>
      <c r="Q67" s="17" t="str">
        <f t="shared" si="7"/>
        <v>Used Code</v>
      </c>
    </row>
    <row r="68" spans="1:17" x14ac:dyDescent="0.25">
      <c r="A68" s="8">
        <v>5237</v>
      </c>
      <c r="B68" s="8" t="s">
        <v>26</v>
      </c>
      <c r="C68" s="8" t="s">
        <v>219</v>
      </c>
      <c r="D68" s="10">
        <v>45962</v>
      </c>
      <c r="E68" s="8" t="s">
        <v>353</v>
      </c>
      <c r="F68" s="8" t="s">
        <v>224</v>
      </c>
      <c r="G68" s="1" t="str">
        <f>INDEX(Customers!B:B,MATCH(B68,Customers!A:A,0))</f>
        <v>Blessing Moore</v>
      </c>
      <c r="H68" s="1" t="str">
        <f>INDEX(Customers!E:E,MATCH(B68,Customers!A:A,0))</f>
        <v>Female</v>
      </c>
      <c r="I68" s="1">
        <f>INDEX(Customers!C:C,MATCH(B68,Customers!A:A,0))</f>
        <v>18</v>
      </c>
      <c r="J68" s="1" t="str">
        <f>INDEX(Customers!D:D,MATCH(B68,Customers!A:A,0))</f>
        <v>Kano</v>
      </c>
      <c r="K68" s="1" t="str">
        <f>INDEX(Products!B:B,MATCH(C68,Products!A:A,0))</f>
        <v>Accessories</v>
      </c>
      <c r="L68" s="1" t="str">
        <f>INDEX(Products!C:C,MATCH(C68,Products!A:A,0))</f>
        <v>Waist Belt</v>
      </c>
      <c r="M68" s="1">
        <f>INDEX(Products!D:D,MATCH(C68,Products!A:A,0))</f>
        <v>33</v>
      </c>
      <c r="N68" s="1" t="str">
        <f t="shared" si="4"/>
        <v>Fall</v>
      </c>
      <c r="O68" s="1" t="str">
        <f t="shared" si="5"/>
        <v>&lt;20</v>
      </c>
      <c r="P68" s="1" t="str">
        <f t="shared" si="6"/>
        <v>Yes</v>
      </c>
      <c r="Q68" s="17" t="str">
        <f t="shared" si="7"/>
        <v>Used Code</v>
      </c>
    </row>
    <row r="69" spans="1:17" x14ac:dyDescent="0.25">
      <c r="A69" s="8">
        <v>5086</v>
      </c>
      <c r="B69" s="8" t="s">
        <v>168</v>
      </c>
      <c r="C69" s="8" t="s">
        <v>200</v>
      </c>
      <c r="D69" s="10">
        <v>46069</v>
      </c>
      <c r="E69" s="8" t="s">
        <v>353</v>
      </c>
      <c r="F69" s="8"/>
      <c r="G69" s="1" t="str">
        <f>INDEX(Customers!B:B,MATCH(B69,Customers!A:A,0))</f>
        <v>Nkechi Okoro</v>
      </c>
      <c r="H69" s="1" t="str">
        <f>INDEX(Customers!E:E,MATCH(B69,Customers!A:A,0))</f>
        <v>Female</v>
      </c>
      <c r="I69" s="1">
        <f>INDEX(Customers!C:C,MATCH(B69,Customers!A:A,0))</f>
        <v>19</v>
      </c>
      <c r="J69" s="1" t="str">
        <f>INDEX(Customers!D:D,MATCH(B69,Customers!A:A,0))</f>
        <v>Abuja</v>
      </c>
      <c r="K69" s="1" t="str">
        <f>INDEX(Products!B:B,MATCH(C69,Products!A:A,0))</f>
        <v>Accessories</v>
      </c>
      <c r="L69" s="1" t="str">
        <f>INDEX(Products!C:C,MATCH(C69,Products!A:A,0))</f>
        <v>Beaded Necklace</v>
      </c>
      <c r="M69" s="1">
        <f>INDEX(Products!D:D,MATCH(C69,Products!A:A,0))</f>
        <v>25</v>
      </c>
      <c r="N69" s="1" t="str">
        <f t="shared" si="4"/>
        <v>Winter</v>
      </c>
      <c r="O69" s="1" t="str">
        <f t="shared" si="5"/>
        <v>&lt;20</v>
      </c>
      <c r="P69" s="1" t="str">
        <f t="shared" si="6"/>
        <v>Yes</v>
      </c>
      <c r="Q69" s="17" t="str">
        <f t="shared" si="7"/>
        <v>No Code</v>
      </c>
    </row>
    <row r="70" spans="1:17" x14ac:dyDescent="0.25">
      <c r="A70" s="8">
        <v>5280</v>
      </c>
      <c r="B70" s="8" t="s">
        <v>94</v>
      </c>
      <c r="C70" s="8" t="s">
        <v>186</v>
      </c>
      <c r="D70" s="10">
        <v>46063</v>
      </c>
      <c r="E70" s="8" t="s">
        <v>353</v>
      </c>
      <c r="F70" s="8"/>
      <c r="G70" s="1" t="str">
        <f>INDEX(Customers!B:B,MATCH(B70,Customers!A:A,0))</f>
        <v>Amara Thomas</v>
      </c>
      <c r="H70" s="1" t="str">
        <f>INDEX(Customers!E:E,MATCH(B70,Customers!A:A,0))</f>
        <v>Female</v>
      </c>
      <c r="I70" s="1">
        <f>INDEX(Customers!C:C,MATCH(B70,Customers!A:A,0))</f>
        <v>39</v>
      </c>
      <c r="J70" s="1" t="str">
        <f>INDEX(Customers!D:D,MATCH(B70,Customers!A:A,0))</f>
        <v>Abeokuta</v>
      </c>
      <c r="K70" s="1" t="str">
        <f>INDEX(Products!B:B,MATCH(C70,Products!A:A,0))</f>
        <v>Clothing</v>
      </c>
      <c r="L70" s="1" t="str">
        <f>INDEX(Products!C:C,MATCH(C70,Products!A:A,0))</f>
        <v>Maxi Gown</v>
      </c>
      <c r="M70" s="1">
        <f>INDEX(Products!D:D,MATCH(C70,Products!A:A,0))</f>
        <v>120</v>
      </c>
      <c r="N70" s="1" t="str">
        <f t="shared" si="4"/>
        <v>Winter</v>
      </c>
      <c r="O70" s="1" t="str">
        <f t="shared" si="5"/>
        <v>20-40</v>
      </c>
      <c r="P70" s="1" t="str">
        <f t="shared" si="6"/>
        <v>Yes</v>
      </c>
      <c r="Q70" s="17" t="str">
        <f t="shared" si="7"/>
        <v>No Code</v>
      </c>
    </row>
    <row r="71" spans="1:17" x14ac:dyDescent="0.25">
      <c r="A71" s="8">
        <v>5159</v>
      </c>
      <c r="B71" s="8" t="s">
        <v>169</v>
      </c>
      <c r="C71" s="8" t="s">
        <v>179</v>
      </c>
      <c r="D71" s="10">
        <v>46141</v>
      </c>
      <c r="E71" s="8" t="s">
        <v>353</v>
      </c>
      <c r="F71" s="8"/>
      <c r="G71" s="1" t="str">
        <f>INDEX(Customers!B:B,MATCH(B71,Customers!A:A,0))</f>
        <v>Nancy Moore</v>
      </c>
      <c r="H71" s="1" t="str">
        <f>INDEX(Customers!E:E,MATCH(B71,Customers!A:A,0))</f>
        <v>Female</v>
      </c>
      <c r="I71" s="1">
        <f>INDEX(Customers!C:C,MATCH(B71,Customers!A:A,0))</f>
        <v>53</v>
      </c>
      <c r="J71" s="1" t="str">
        <f>INDEX(Customers!D:D,MATCH(B71,Customers!A:A,0))</f>
        <v>Lagos</v>
      </c>
      <c r="K71" s="1" t="str">
        <f>INDEX(Products!B:B,MATCH(C71,Products!A:A,0))</f>
        <v>Clothing</v>
      </c>
      <c r="L71" s="1" t="str">
        <f>INDEX(Products!C:C,MATCH(C71,Products!A:A,0))</f>
        <v>Ankara Dress</v>
      </c>
      <c r="M71" s="1">
        <f>INDEX(Products!D:D,MATCH(C71,Products!A:A,0))</f>
        <v>68</v>
      </c>
      <c r="N71" s="1" t="str">
        <f t="shared" si="4"/>
        <v>Spring</v>
      </c>
      <c r="O71" s="1" t="str">
        <f t="shared" si="5"/>
        <v>40-60</v>
      </c>
      <c r="P71" s="1" t="str">
        <f t="shared" si="6"/>
        <v>Yes</v>
      </c>
      <c r="Q71" s="17" t="str">
        <f t="shared" si="7"/>
        <v>No Code</v>
      </c>
    </row>
    <row r="72" spans="1:17" x14ac:dyDescent="0.25">
      <c r="A72" s="8">
        <v>5001</v>
      </c>
      <c r="B72" s="8" t="s">
        <v>114</v>
      </c>
      <c r="C72" s="8" t="s">
        <v>215</v>
      </c>
      <c r="D72" s="10">
        <v>46141</v>
      </c>
      <c r="E72" s="8" t="s">
        <v>231</v>
      </c>
      <c r="F72" s="8" t="s">
        <v>224</v>
      </c>
      <c r="G72" s="1" t="str">
        <f>INDEX(Customers!B:B,MATCH(B72,Customers!A:A,0))</f>
        <v>Tunde Wilson</v>
      </c>
      <c r="H72" s="1" t="str">
        <f>INDEX(Customers!E:E,MATCH(B72,Customers!A:A,0))</f>
        <v>Male</v>
      </c>
      <c r="I72" s="1">
        <f>INDEX(Customers!C:C,MATCH(B72,Customers!A:A,0))</f>
        <v>59</v>
      </c>
      <c r="J72" s="1" t="str">
        <f>INDEX(Customers!D:D,MATCH(B72,Customers!A:A,0))</f>
        <v>Lagos</v>
      </c>
      <c r="K72" s="1" t="str">
        <f>INDEX(Products!B:B,MATCH(C72,Products!A:A,0))</f>
        <v>Accessories</v>
      </c>
      <c r="L72" s="1" t="str">
        <f>INDEX(Products!C:C,MATCH(C72,Products!A:A,0))</f>
        <v>Clutch Purse</v>
      </c>
      <c r="M72" s="1">
        <f>INDEX(Products!D:D,MATCH(C72,Products!A:A,0))</f>
        <v>48</v>
      </c>
      <c r="N72" s="1" t="str">
        <f t="shared" si="4"/>
        <v>Spring</v>
      </c>
      <c r="O72" s="1" t="str">
        <f t="shared" si="5"/>
        <v>40-60</v>
      </c>
      <c r="P72" s="1" t="str">
        <f t="shared" si="6"/>
        <v>Yes</v>
      </c>
      <c r="Q72" s="17" t="str">
        <f t="shared" si="7"/>
        <v>Used Code</v>
      </c>
    </row>
    <row r="73" spans="1:17" x14ac:dyDescent="0.25">
      <c r="A73" s="8">
        <v>5151</v>
      </c>
      <c r="B73" s="8" t="s">
        <v>235</v>
      </c>
      <c r="C73" s="8" t="s">
        <v>213</v>
      </c>
      <c r="D73" s="10">
        <v>45820</v>
      </c>
      <c r="E73" s="8" t="s">
        <v>231</v>
      </c>
      <c r="F73" s="8"/>
      <c r="G73" s="1" t="str">
        <f>INDEX(Customers!B:B,MATCH(B73,Customers!A:A,0))</f>
        <v>Ngozi Williams</v>
      </c>
      <c r="H73" s="1" t="str">
        <f>INDEX(Customers!E:E,MATCH(B73,Customers!A:A,0))</f>
        <v>Female</v>
      </c>
      <c r="I73" s="1">
        <f>INDEX(Customers!C:C,MATCH(B73,Customers!A:A,0))</f>
        <v>27</v>
      </c>
      <c r="J73" s="1" t="str">
        <f>INDEX(Customers!D:D,MATCH(B73,Customers!A:A,0))</f>
        <v>Kaduna</v>
      </c>
      <c r="K73" s="1" t="str">
        <f>INDEX(Products!B:B,MATCH(C73,Products!A:A,0))</f>
        <v>Accessories</v>
      </c>
      <c r="L73" s="1" t="str">
        <f>INDEX(Products!C:C,MATCH(C73,Products!A:A,0))</f>
        <v>Ankle Boots</v>
      </c>
      <c r="M73" s="1">
        <f>INDEX(Products!D:D,MATCH(C73,Products!A:A,0))</f>
        <v>110</v>
      </c>
      <c r="N73" s="1" t="str">
        <f t="shared" si="4"/>
        <v>Summer</v>
      </c>
      <c r="O73" s="1" t="str">
        <f t="shared" si="5"/>
        <v>20-40</v>
      </c>
      <c r="P73" s="1" t="str">
        <f t="shared" si="6"/>
        <v>Yes</v>
      </c>
      <c r="Q73" s="17" t="str">
        <f t="shared" si="7"/>
        <v>No Code</v>
      </c>
    </row>
    <row r="74" spans="1:17" x14ac:dyDescent="0.25">
      <c r="A74" s="8">
        <v>5021</v>
      </c>
      <c r="B74" s="8" t="s">
        <v>5</v>
      </c>
      <c r="C74" s="8" t="s">
        <v>207</v>
      </c>
      <c r="D74" s="10">
        <v>45811</v>
      </c>
      <c r="E74" s="8" t="s">
        <v>233</v>
      </c>
      <c r="F74" s="8"/>
      <c r="G74" s="1" t="str">
        <f>INDEX(Customers!B:B,MATCH(B74,Customers!A:A,0))</f>
        <v>Rita Abubakar</v>
      </c>
      <c r="H74" s="1" t="str">
        <f>INDEX(Customers!E:E,MATCH(B74,Customers!A:A,0))</f>
        <v>Female</v>
      </c>
      <c r="I74" s="1">
        <f>INDEX(Customers!C:C,MATCH(B74,Customers!A:A,0))</f>
        <v>27</v>
      </c>
      <c r="J74" s="1" t="str">
        <f>INDEX(Customers!D:D,MATCH(B74,Customers!A:A,0))</f>
        <v>Owerri</v>
      </c>
      <c r="K74" s="1" t="str">
        <f>INDEX(Products!B:B,MATCH(C74,Products!A:A,0))</f>
        <v>Accessories</v>
      </c>
      <c r="L74" s="1" t="str">
        <f>INDEX(Products!C:C,MATCH(C74,Products!A:A,0))</f>
        <v>Hair Scarf</v>
      </c>
      <c r="M74" s="1">
        <f>INDEX(Products!D:D,MATCH(C74,Products!A:A,0))</f>
        <v>15</v>
      </c>
      <c r="N74" s="1" t="str">
        <f t="shared" si="4"/>
        <v>Summer</v>
      </c>
      <c r="O74" s="1" t="str">
        <f t="shared" si="5"/>
        <v>20-40</v>
      </c>
      <c r="P74" s="1" t="str">
        <f t="shared" si="6"/>
        <v>Yes</v>
      </c>
      <c r="Q74" s="17" t="str">
        <f t="shared" si="7"/>
        <v>No Code</v>
      </c>
    </row>
    <row r="75" spans="1:17" x14ac:dyDescent="0.25">
      <c r="A75" s="8">
        <v>5178</v>
      </c>
      <c r="B75" s="8" t="s">
        <v>125</v>
      </c>
      <c r="C75" s="8" t="s">
        <v>215</v>
      </c>
      <c r="D75" s="10">
        <v>46065</v>
      </c>
      <c r="E75" s="8" t="s">
        <v>234</v>
      </c>
      <c r="F75" s="8" t="s">
        <v>226</v>
      </c>
      <c r="G75" s="1" t="str">
        <f>INDEX(Customers!B:B,MATCH(B75,Customers!A:A,0))</f>
        <v>Sarah Jackson</v>
      </c>
      <c r="H75" s="1" t="str">
        <f>INDEX(Customers!E:E,MATCH(B75,Customers!A:A,0))</f>
        <v>Female</v>
      </c>
      <c r="I75" s="1">
        <f>INDEX(Customers!C:C,MATCH(B75,Customers!A:A,0))</f>
        <v>45</v>
      </c>
      <c r="J75" s="1" t="str">
        <f>INDEX(Customers!D:D,MATCH(B75,Customers!A:A,0))</f>
        <v>Unknown</v>
      </c>
      <c r="K75" s="1" t="str">
        <f>INDEX(Products!B:B,MATCH(C75,Products!A:A,0))</f>
        <v>Accessories</v>
      </c>
      <c r="L75" s="1" t="str">
        <f>INDEX(Products!C:C,MATCH(C75,Products!A:A,0))</f>
        <v>Clutch Purse</v>
      </c>
      <c r="M75" s="1">
        <f>INDEX(Products!D:D,MATCH(C75,Products!A:A,0))</f>
        <v>48</v>
      </c>
      <c r="N75" s="1" t="str">
        <f t="shared" si="4"/>
        <v>Winter</v>
      </c>
      <c r="O75" s="1" t="str">
        <f t="shared" si="5"/>
        <v>40-60</v>
      </c>
      <c r="P75" s="1" t="str">
        <f t="shared" si="6"/>
        <v>Yes</v>
      </c>
      <c r="Q75" s="17" t="str">
        <f t="shared" si="7"/>
        <v>Used Code</v>
      </c>
    </row>
    <row r="76" spans="1:17" x14ac:dyDescent="0.25">
      <c r="A76" s="8">
        <v>5217</v>
      </c>
      <c r="B76" s="8" t="s">
        <v>98</v>
      </c>
      <c r="C76" s="8" t="s">
        <v>211</v>
      </c>
      <c r="D76" s="10">
        <v>45947</v>
      </c>
      <c r="E76" s="8" t="s">
        <v>231</v>
      </c>
      <c r="F76" s="8" t="s">
        <v>223</v>
      </c>
      <c r="G76" s="1" t="str">
        <f>INDEX(Customers!B:B,MATCH(B76,Customers!A:A,0))</f>
        <v>Amara Okafor</v>
      </c>
      <c r="H76" s="1" t="str">
        <f>INDEX(Customers!E:E,MATCH(B76,Customers!A:A,0))</f>
        <v>Female</v>
      </c>
      <c r="I76" s="1">
        <f>INDEX(Customers!C:C,MATCH(B76,Customers!A:A,0))</f>
        <v>50</v>
      </c>
      <c r="J76" s="1" t="str">
        <f>INDEX(Customers!D:D,MATCH(B76,Customers!A:A,0))</f>
        <v>Owerri</v>
      </c>
      <c r="K76" s="1" t="str">
        <f>INDEX(Products!B:B,MATCH(C76,Products!A:A,0))</f>
        <v>Accessories</v>
      </c>
      <c r="L76" s="1" t="str">
        <f>INDEX(Products!C:C,MATCH(C76,Products!A:A,0))</f>
        <v>Bangle Set</v>
      </c>
      <c r="M76" s="1">
        <f>INDEX(Products!D:D,MATCH(C76,Products!A:A,0))</f>
        <v>22</v>
      </c>
      <c r="N76" s="1" t="str">
        <f t="shared" si="4"/>
        <v>Fall</v>
      </c>
      <c r="O76" s="1" t="str">
        <f t="shared" si="5"/>
        <v>40-60</v>
      </c>
      <c r="P76" s="1" t="str">
        <f t="shared" si="6"/>
        <v>No</v>
      </c>
      <c r="Q76" s="17" t="str">
        <f t="shared" si="7"/>
        <v>Used Code</v>
      </c>
    </row>
    <row r="77" spans="1:17" x14ac:dyDescent="0.25">
      <c r="A77" s="8">
        <v>5288</v>
      </c>
      <c r="B77" s="8" t="s">
        <v>65</v>
      </c>
      <c r="C77" s="8" t="s">
        <v>186</v>
      </c>
      <c r="D77" s="10">
        <v>45853</v>
      </c>
      <c r="E77" s="8" t="s">
        <v>231</v>
      </c>
      <c r="F77" s="8" t="s">
        <v>225</v>
      </c>
      <c r="G77" s="1" t="str">
        <f>INDEX(Customers!B:B,MATCH(B77,Customers!A:A,0))</f>
        <v>Nancy Martin</v>
      </c>
      <c r="H77" s="1" t="str">
        <f>INDEX(Customers!E:E,MATCH(B77,Customers!A:A,0))</f>
        <v>Female</v>
      </c>
      <c r="I77" s="1">
        <f>INDEX(Customers!C:C,MATCH(B77,Customers!A:A,0))</f>
        <v>52</v>
      </c>
      <c r="J77" s="1" t="str">
        <f>INDEX(Customers!D:D,MATCH(B77,Customers!A:A,0))</f>
        <v>Abuja</v>
      </c>
      <c r="K77" s="1" t="str">
        <f>INDEX(Products!B:B,MATCH(C77,Products!A:A,0))</f>
        <v>Clothing</v>
      </c>
      <c r="L77" s="1" t="str">
        <f>INDEX(Products!C:C,MATCH(C77,Products!A:A,0))</f>
        <v>Maxi Gown</v>
      </c>
      <c r="M77" s="1">
        <f>INDEX(Products!D:D,MATCH(C77,Products!A:A,0))</f>
        <v>120</v>
      </c>
      <c r="N77" s="1" t="str">
        <f t="shared" si="4"/>
        <v>Summer</v>
      </c>
      <c r="O77" s="1" t="str">
        <f t="shared" si="5"/>
        <v>40-60</v>
      </c>
      <c r="P77" s="1" t="str">
        <f t="shared" si="6"/>
        <v>Yes</v>
      </c>
      <c r="Q77" s="17" t="str">
        <f t="shared" si="7"/>
        <v>Used Code</v>
      </c>
    </row>
    <row r="78" spans="1:17" x14ac:dyDescent="0.25">
      <c r="A78" s="8">
        <v>5168</v>
      </c>
      <c r="B78" s="8" t="s">
        <v>134</v>
      </c>
      <c r="C78" s="8" t="s">
        <v>205</v>
      </c>
      <c r="D78" s="10">
        <v>46044</v>
      </c>
      <c r="E78" s="8" t="s">
        <v>231</v>
      </c>
      <c r="F78" s="8"/>
      <c r="G78" s="1" t="str">
        <f>INDEX(Customers!B:B,MATCH(B78,Customers!A:A,0))</f>
        <v>Emeka Martin</v>
      </c>
      <c r="H78" s="1" t="str">
        <f>INDEX(Customers!E:E,MATCH(B78,Customers!A:A,0))</f>
        <v>Male</v>
      </c>
      <c r="I78" s="1">
        <f>INDEX(Customers!C:C,MATCH(B78,Customers!A:A,0))</f>
        <v>30</v>
      </c>
      <c r="J78" s="1" t="str">
        <f>INDEX(Customers!D:D,MATCH(B78,Customers!A:A,0))</f>
        <v>Calabar</v>
      </c>
      <c r="K78" s="1" t="str">
        <f>INDEX(Products!B:B,MATCH(C78,Products!A:A,0))</f>
        <v>Accessories</v>
      </c>
      <c r="L78" s="1" t="str">
        <f>INDEX(Products!C:C,MATCH(C78,Products!A:A,0))</f>
        <v>Sunglasses</v>
      </c>
      <c r="M78" s="1">
        <f>INDEX(Products!D:D,MATCH(C78,Products!A:A,0))</f>
        <v>38</v>
      </c>
      <c r="N78" s="1" t="str">
        <f t="shared" si="4"/>
        <v>Winter</v>
      </c>
      <c r="O78" s="1" t="str">
        <f t="shared" si="5"/>
        <v>20-40</v>
      </c>
      <c r="P78" s="1" t="str">
        <f t="shared" si="6"/>
        <v>Yes</v>
      </c>
      <c r="Q78" s="17" t="str">
        <f t="shared" si="7"/>
        <v>No Code</v>
      </c>
    </row>
    <row r="79" spans="1:17" x14ac:dyDescent="0.25">
      <c r="A79" s="8">
        <v>5222</v>
      </c>
      <c r="B79" s="8" t="s">
        <v>131</v>
      </c>
      <c r="C79" s="8" t="s">
        <v>211</v>
      </c>
      <c r="D79" s="10">
        <v>45947</v>
      </c>
      <c r="E79" s="8" t="s">
        <v>233</v>
      </c>
      <c r="F79" s="8"/>
      <c r="G79" s="1" t="str">
        <f>INDEX(Customers!B:B,MATCH(B79,Customers!A:A,0))</f>
        <v>Emeka Harris</v>
      </c>
      <c r="H79" s="1" t="str">
        <f>INDEX(Customers!E:E,MATCH(B79,Customers!A:A,0))</f>
        <v>Male</v>
      </c>
      <c r="I79" s="1">
        <f>INDEX(Customers!C:C,MATCH(B79,Customers!A:A,0))</f>
        <v>39</v>
      </c>
      <c r="J79" s="1" t="str">
        <f>INDEX(Customers!D:D,MATCH(B79,Customers!A:A,0))</f>
        <v>Owerri</v>
      </c>
      <c r="K79" s="1" t="str">
        <f>INDEX(Products!B:B,MATCH(C79,Products!A:A,0))</f>
        <v>Accessories</v>
      </c>
      <c r="L79" s="1" t="str">
        <f>INDEX(Products!C:C,MATCH(C79,Products!A:A,0))</f>
        <v>Bangle Set</v>
      </c>
      <c r="M79" s="1">
        <f>INDEX(Products!D:D,MATCH(C79,Products!A:A,0))</f>
        <v>22</v>
      </c>
      <c r="N79" s="1" t="str">
        <f t="shared" si="4"/>
        <v>Fall</v>
      </c>
      <c r="O79" s="1" t="str">
        <f t="shared" si="5"/>
        <v>20-40</v>
      </c>
      <c r="P79" s="1" t="str">
        <f t="shared" si="6"/>
        <v>No</v>
      </c>
      <c r="Q79" s="17" t="str">
        <f t="shared" si="7"/>
        <v>No Code</v>
      </c>
    </row>
    <row r="80" spans="1:17" x14ac:dyDescent="0.25">
      <c r="A80" s="8">
        <v>5023</v>
      </c>
      <c r="B80" s="8" t="s">
        <v>7</v>
      </c>
      <c r="C80" s="8" t="s">
        <v>184</v>
      </c>
      <c r="D80" s="10">
        <v>45959</v>
      </c>
      <c r="E80" s="8" t="s">
        <v>353</v>
      </c>
      <c r="F80" s="8"/>
      <c r="G80" s="1" t="str">
        <f>INDEX(Customers!B:B,MATCH(B80,Customers!A:A,0))</f>
        <v>Grace Anderson</v>
      </c>
      <c r="H80" s="1" t="str">
        <f>INDEX(Customers!E:E,MATCH(B80,Customers!A:A,0))</f>
        <v>Female</v>
      </c>
      <c r="I80" s="1">
        <f>INDEX(Customers!C:C,MATCH(B80,Customers!A:A,0))</f>
        <v>54</v>
      </c>
      <c r="J80" s="1" t="str">
        <f>INDEX(Customers!D:D,MATCH(B80,Customers!A:A,0))</f>
        <v>Abeokuta</v>
      </c>
      <c r="K80" s="1" t="str">
        <f>INDEX(Products!B:B,MATCH(C80,Products!A:A,0))</f>
        <v>Clothing</v>
      </c>
      <c r="L80" s="1" t="str">
        <f>INDEX(Products!C:C,MATCH(C80,Products!A:A,0))</f>
        <v>Silk Blouse</v>
      </c>
      <c r="M80" s="1">
        <f>INDEX(Products!D:D,MATCH(C80,Products!A:A,0))</f>
        <v>54</v>
      </c>
      <c r="N80" s="1" t="str">
        <f t="shared" si="4"/>
        <v>Fall</v>
      </c>
      <c r="O80" s="1" t="str">
        <f t="shared" si="5"/>
        <v>40-60</v>
      </c>
      <c r="P80" s="1" t="str">
        <f t="shared" si="6"/>
        <v>Yes</v>
      </c>
      <c r="Q80" s="17" t="str">
        <f t="shared" si="7"/>
        <v>No Code</v>
      </c>
    </row>
    <row r="81" spans="1:17" x14ac:dyDescent="0.25">
      <c r="A81" s="8">
        <v>5155</v>
      </c>
      <c r="B81" s="8" t="s">
        <v>110</v>
      </c>
      <c r="C81" s="8" t="s">
        <v>190</v>
      </c>
      <c r="D81" s="10">
        <v>45950</v>
      </c>
      <c r="E81" s="8" t="s">
        <v>352</v>
      </c>
      <c r="F81" s="8"/>
      <c r="G81" s="1" t="str">
        <f>INDEX(Customers!B:B,MATCH(B81,Customers!A:A,0))</f>
        <v>Michael Martin</v>
      </c>
      <c r="H81" s="1" t="str">
        <f>INDEX(Customers!E:E,MATCH(B81,Customers!A:A,0))</f>
        <v>Male</v>
      </c>
      <c r="I81" s="1">
        <f>INDEX(Customers!C:C,MATCH(B81,Customers!A:A,0))</f>
        <v>53</v>
      </c>
      <c r="J81" s="1" t="str">
        <f>INDEX(Customers!D:D,MATCH(B81,Customers!A:A,0))</f>
        <v>Unknown</v>
      </c>
      <c r="K81" s="1" t="str">
        <f>INDEX(Products!B:B,MATCH(C81,Products!A:A,0))</f>
        <v>Clothing</v>
      </c>
      <c r="L81" s="1" t="str">
        <f>INDEX(Products!C:C,MATCH(C81,Products!A:A,0))</f>
        <v>Kaftan</v>
      </c>
      <c r="M81" s="1">
        <f>INDEX(Products!D:D,MATCH(C81,Products!A:A,0))</f>
        <v>89</v>
      </c>
      <c r="N81" s="1" t="str">
        <f t="shared" si="4"/>
        <v>Fall</v>
      </c>
      <c r="O81" s="1" t="str">
        <f t="shared" si="5"/>
        <v>40-60</v>
      </c>
      <c r="P81" s="1" t="str">
        <f t="shared" si="6"/>
        <v>Yes</v>
      </c>
      <c r="Q81" s="17" t="str">
        <f t="shared" si="7"/>
        <v>No Code</v>
      </c>
    </row>
    <row r="82" spans="1:17" x14ac:dyDescent="0.25">
      <c r="A82" s="8">
        <v>5119</v>
      </c>
      <c r="B82" s="8" t="s">
        <v>42</v>
      </c>
      <c r="C82" s="8" t="s">
        <v>198</v>
      </c>
      <c r="D82" s="10">
        <v>45895</v>
      </c>
      <c r="E82" s="8" t="s">
        <v>233</v>
      </c>
      <c r="F82" s="8" t="s">
        <v>226</v>
      </c>
      <c r="G82" s="1" t="str">
        <f>INDEX(Customers!B:B,MATCH(B82,Customers!A:A,0))</f>
        <v>Chioma Brown</v>
      </c>
      <c r="H82" s="1" t="str">
        <f>INDEX(Customers!E:E,MATCH(B82,Customers!A:A,0))</f>
        <v>Female</v>
      </c>
      <c r="I82" s="1">
        <f>INDEX(Customers!C:C,MATCH(B82,Customers!A:A,0))</f>
        <v>48</v>
      </c>
      <c r="J82" s="1" t="str">
        <f>INDEX(Customers!D:D,MATCH(B82,Customers!A:A,0))</f>
        <v>Uyo</v>
      </c>
      <c r="K82" s="1" t="str">
        <f>INDEX(Products!B:B,MATCH(C82,Products!A:A,0))</f>
        <v>Clothing</v>
      </c>
      <c r="L82" s="1" t="str">
        <f>INDEX(Products!C:C,MATCH(C82,Products!A:A,0))</f>
        <v>Knit Sweater</v>
      </c>
      <c r="M82" s="1">
        <f>INDEX(Products!D:D,MATCH(C82,Products!A:A,0))</f>
        <v>58</v>
      </c>
      <c r="N82" s="1" t="str">
        <f t="shared" si="4"/>
        <v>Summer</v>
      </c>
      <c r="O82" s="1" t="str">
        <f t="shared" si="5"/>
        <v>40-60</v>
      </c>
      <c r="P82" s="1" t="str">
        <f t="shared" si="6"/>
        <v>Yes</v>
      </c>
      <c r="Q82" s="17" t="str">
        <f t="shared" si="7"/>
        <v>Used Code</v>
      </c>
    </row>
    <row r="83" spans="1:17" x14ac:dyDescent="0.25">
      <c r="A83" s="8">
        <v>5042</v>
      </c>
      <c r="B83" s="8" t="s">
        <v>145</v>
      </c>
      <c r="C83" s="8" t="s">
        <v>188</v>
      </c>
      <c r="D83" s="10">
        <v>45971</v>
      </c>
      <c r="E83" s="8" t="s">
        <v>233</v>
      </c>
      <c r="F83" s="8"/>
      <c r="G83" s="1" t="str">
        <f>INDEX(Customers!B:B,MATCH(B83,Customers!A:A,0))</f>
        <v>Karen Anderson</v>
      </c>
      <c r="H83" s="1" t="str">
        <f>INDEX(Customers!E:E,MATCH(B83,Customers!A:A,0))</f>
        <v>Female</v>
      </c>
      <c r="I83" s="1">
        <f>INDEX(Customers!C:C,MATCH(B83,Customers!A:A,0))</f>
        <v>38</v>
      </c>
      <c r="J83" s="1" t="str">
        <f>INDEX(Customers!D:D,MATCH(B83,Customers!A:A,0))</f>
        <v>Enugu</v>
      </c>
      <c r="K83" s="1" t="str">
        <f>INDEX(Products!B:B,MATCH(C83,Products!A:A,0))</f>
        <v>Clothing</v>
      </c>
      <c r="L83" s="1" t="str">
        <f>INDEX(Products!C:C,MATCH(C83,Products!A:A,0))</f>
        <v>Linen Trousers</v>
      </c>
      <c r="M83" s="1">
        <f>INDEX(Products!D:D,MATCH(C83,Products!A:A,0))</f>
        <v>47</v>
      </c>
      <c r="N83" s="1" t="str">
        <f t="shared" si="4"/>
        <v>Fall</v>
      </c>
      <c r="O83" s="1" t="str">
        <f t="shared" si="5"/>
        <v>20-40</v>
      </c>
      <c r="P83" s="1" t="str">
        <f t="shared" si="6"/>
        <v>No</v>
      </c>
      <c r="Q83" s="17" t="str">
        <f t="shared" si="7"/>
        <v>No Code</v>
      </c>
    </row>
    <row r="84" spans="1:17" x14ac:dyDescent="0.25">
      <c r="A84" s="8">
        <v>5177</v>
      </c>
      <c r="B84" s="8" t="s">
        <v>97</v>
      </c>
      <c r="C84" s="8" t="s">
        <v>186</v>
      </c>
      <c r="D84" s="10">
        <v>45870</v>
      </c>
      <c r="E84" s="8" t="s">
        <v>353</v>
      </c>
      <c r="F84" s="8"/>
      <c r="G84" s="1" t="str">
        <f>INDEX(Customers!B:B,MATCH(B84,Customers!A:A,0))</f>
        <v>Grace Wilson</v>
      </c>
      <c r="H84" s="1" t="str">
        <f>INDEX(Customers!E:E,MATCH(B84,Customers!A:A,0))</f>
        <v>Female</v>
      </c>
      <c r="I84" s="1">
        <f>INDEX(Customers!C:C,MATCH(B84,Customers!A:A,0))</f>
        <v>49</v>
      </c>
      <c r="J84" s="1" t="str">
        <f>INDEX(Customers!D:D,MATCH(B84,Customers!A:A,0))</f>
        <v>Port Harcourt</v>
      </c>
      <c r="K84" s="1" t="str">
        <f>INDEX(Products!B:B,MATCH(C84,Products!A:A,0))</f>
        <v>Clothing</v>
      </c>
      <c r="L84" s="1" t="str">
        <f>INDEX(Products!C:C,MATCH(C84,Products!A:A,0))</f>
        <v>Maxi Gown</v>
      </c>
      <c r="M84" s="1">
        <f>INDEX(Products!D:D,MATCH(C84,Products!A:A,0))</f>
        <v>120</v>
      </c>
      <c r="N84" s="1" t="str">
        <f t="shared" si="4"/>
        <v>Summer</v>
      </c>
      <c r="O84" s="1" t="str">
        <f t="shared" si="5"/>
        <v>40-60</v>
      </c>
      <c r="P84" s="1" t="str">
        <f t="shared" si="6"/>
        <v>No</v>
      </c>
      <c r="Q84" s="17" t="str">
        <f t="shared" si="7"/>
        <v>No Code</v>
      </c>
    </row>
    <row r="85" spans="1:17" x14ac:dyDescent="0.25">
      <c r="A85" s="8">
        <v>5035</v>
      </c>
      <c r="B85" s="8" t="s">
        <v>153</v>
      </c>
      <c r="C85" s="8" t="s">
        <v>205</v>
      </c>
      <c r="D85" s="10">
        <v>46073</v>
      </c>
      <c r="E85" s="8" t="s">
        <v>231</v>
      </c>
      <c r="F85" s="8" t="s">
        <v>226</v>
      </c>
      <c r="G85" s="1" t="str">
        <f>INDEX(Customers!B:B,MATCH(B85,Customers!A:A,0))</f>
        <v>Mark Davis</v>
      </c>
      <c r="H85" s="1" t="str">
        <f>INDEX(Customers!E:E,MATCH(B85,Customers!A:A,0))</f>
        <v>Male</v>
      </c>
      <c r="I85" s="1">
        <f>INDEX(Customers!C:C,MATCH(B85,Customers!A:A,0))</f>
        <v>33</v>
      </c>
      <c r="J85" s="1" t="str">
        <f>INDEX(Customers!D:D,MATCH(B85,Customers!A:A,0))</f>
        <v>Jos</v>
      </c>
      <c r="K85" s="1" t="str">
        <f>INDEX(Products!B:B,MATCH(C85,Products!A:A,0))</f>
        <v>Accessories</v>
      </c>
      <c r="L85" s="1" t="str">
        <f>INDEX(Products!C:C,MATCH(C85,Products!A:A,0))</f>
        <v>Sunglasses</v>
      </c>
      <c r="M85" s="1">
        <f>INDEX(Products!D:D,MATCH(C85,Products!A:A,0))</f>
        <v>38</v>
      </c>
      <c r="N85" s="1" t="str">
        <f t="shared" si="4"/>
        <v>Winter</v>
      </c>
      <c r="O85" s="1" t="str">
        <f t="shared" si="5"/>
        <v>20-40</v>
      </c>
      <c r="P85" s="1" t="str">
        <f t="shared" si="6"/>
        <v>Yes</v>
      </c>
      <c r="Q85" s="17" t="str">
        <f t="shared" si="7"/>
        <v>Used Code</v>
      </c>
    </row>
    <row r="86" spans="1:17" x14ac:dyDescent="0.25">
      <c r="A86" s="8">
        <v>5207</v>
      </c>
      <c r="B86" s="8" t="s">
        <v>120</v>
      </c>
      <c r="C86" s="8" t="s">
        <v>209</v>
      </c>
      <c r="D86" s="10">
        <v>45958</v>
      </c>
      <c r="E86" s="8" t="s">
        <v>231</v>
      </c>
      <c r="F86" s="8"/>
      <c r="G86" s="1" t="str">
        <f>INDEX(Customers!B:B,MATCH(B86,Customers!A:A,0))</f>
        <v>Chukwudi Adeyemi</v>
      </c>
      <c r="H86" s="1" t="str">
        <f>INDEX(Customers!E:E,MATCH(B86,Customers!A:A,0))</f>
        <v>Male</v>
      </c>
      <c r="I86" s="1">
        <f>INDEX(Customers!C:C,MATCH(B86,Customers!A:A,0))</f>
        <v>20</v>
      </c>
      <c r="J86" s="1" t="str">
        <f>INDEX(Customers!D:D,MATCH(B86,Customers!A:A,0))</f>
        <v>Owerri</v>
      </c>
      <c r="K86" s="1" t="str">
        <f>INDEX(Products!B:B,MATCH(C86,Products!A:A,0))</f>
        <v>Accessories</v>
      </c>
      <c r="L86" s="1" t="str">
        <f>INDEX(Products!C:C,MATCH(C86,Products!A:A,0))</f>
        <v>Tote Bag</v>
      </c>
      <c r="M86" s="1">
        <f>INDEX(Products!D:D,MATCH(C86,Products!A:A,0))</f>
        <v>62</v>
      </c>
      <c r="N86" s="1" t="str">
        <f t="shared" si="4"/>
        <v>Fall</v>
      </c>
      <c r="O86" s="1" t="str">
        <f t="shared" si="5"/>
        <v>20-40</v>
      </c>
      <c r="P86" s="1" t="str">
        <f t="shared" si="6"/>
        <v>No</v>
      </c>
      <c r="Q86" s="17" t="str">
        <f t="shared" si="7"/>
        <v>No Code</v>
      </c>
    </row>
    <row r="87" spans="1:17" x14ac:dyDescent="0.25">
      <c r="A87" s="8">
        <v>5040</v>
      </c>
      <c r="B87" s="8" t="s">
        <v>72</v>
      </c>
      <c r="C87" s="8" t="s">
        <v>184</v>
      </c>
      <c r="D87" s="10">
        <v>46151</v>
      </c>
      <c r="E87" s="8" t="s">
        <v>353</v>
      </c>
      <c r="F87" s="8"/>
      <c r="G87" s="1" t="str">
        <f>INDEX(Customers!B:B,MATCH(B87,Customers!A:A,0))</f>
        <v>Grace Taylor</v>
      </c>
      <c r="H87" s="1" t="str">
        <f>INDEX(Customers!E:E,MATCH(B87,Customers!A:A,0))</f>
        <v>Female</v>
      </c>
      <c r="I87" s="1">
        <f>INDEX(Customers!C:C,MATCH(B87,Customers!A:A,0))</f>
        <v>44</v>
      </c>
      <c r="J87" s="1" t="str">
        <f>INDEX(Customers!D:D,MATCH(B87,Customers!A:A,0))</f>
        <v>Port Harcourt</v>
      </c>
      <c r="K87" s="1" t="str">
        <f>INDEX(Products!B:B,MATCH(C87,Products!A:A,0))</f>
        <v>Clothing</v>
      </c>
      <c r="L87" s="1" t="str">
        <f>INDEX(Products!C:C,MATCH(C87,Products!A:A,0))</f>
        <v>Silk Blouse</v>
      </c>
      <c r="M87" s="1">
        <f>INDEX(Products!D:D,MATCH(C87,Products!A:A,0))</f>
        <v>54</v>
      </c>
      <c r="N87" s="1" t="str">
        <f t="shared" si="4"/>
        <v>Spring</v>
      </c>
      <c r="O87" s="1" t="str">
        <f t="shared" si="5"/>
        <v>40-60</v>
      </c>
      <c r="P87" s="1" t="str">
        <f t="shared" si="6"/>
        <v>Yes</v>
      </c>
      <c r="Q87" s="17" t="str">
        <f t="shared" si="7"/>
        <v>No Code</v>
      </c>
    </row>
    <row r="88" spans="1:17" x14ac:dyDescent="0.25">
      <c r="A88" s="8">
        <v>5162</v>
      </c>
      <c r="B88" s="8" t="s">
        <v>57</v>
      </c>
      <c r="C88" s="8" t="s">
        <v>203</v>
      </c>
      <c r="D88" s="10">
        <v>46025</v>
      </c>
      <c r="E88" s="8" t="s">
        <v>352</v>
      </c>
      <c r="F88" s="8"/>
      <c r="G88" s="1" t="str">
        <f>INDEX(Customers!B:B,MATCH(B88,Customers!A:A,0))</f>
        <v>Zainab Miller</v>
      </c>
      <c r="H88" s="1" t="str">
        <f>INDEX(Customers!E:E,MATCH(B88,Customers!A:A,0))</f>
        <v>Female</v>
      </c>
      <c r="I88" s="1">
        <f>INDEX(Customers!C:C,MATCH(B88,Customers!A:A,0))</f>
        <v>57</v>
      </c>
      <c r="J88" s="1" t="str">
        <f>INDEX(Customers!D:D,MATCH(B88,Customers!A:A,0))</f>
        <v>Owerri</v>
      </c>
      <c r="K88" s="1" t="str">
        <f>INDEX(Products!B:B,MATCH(C88,Products!A:A,0))</f>
        <v>Accessories</v>
      </c>
      <c r="L88" s="1" t="str">
        <f>INDEX(Products!C:C,MATCH(C88,Products!A:A,0))</f>
        <v>Leather Handbag</v>
      </c>
      <c r="M88" s="1">
        <f>INDEX(Products!D:D,MATCH(C88,Products!A:A,0))</f>
        <v>145</v>
      </c>
      <c r="N88" s="1" t="str">
        <f t="shared" si="4"/>
        <v>Winter</v>
      </c>
      <c r="O88" s="1" t="str">
        <f t="shared" si="5"/>
        <v>40-60</v>
      </c>
      <c r="P88" s="1" t="str">
        <f t="shared" si="6"/>
        <v>No</v>
      </c>
      <c r="Q88" s="17" t="str">
        <f t="shared" si="7"/>
        <v>No Code</v>
      </c>
    </row>
    <row r="89" spans="1:17" x14ac:dyDescent="0.25">
      <c r="A89" s="8">
        <v>5218</v>
      </c>
      <c r="B89" s="8" t="s">
        <v>132</v>
      </c>
      <c r="C89" s="8" t="s">
        <v>200</v>
      </c>
      <c r="D89" s="10">
        <v>45988</v>
      </c>
      <c r="E89" s="8" t="s">
        <v>353</v>
      </c>
      <c r="F89" s="8" t="s">
        <v>225</v>
      </c>
      <c r="G89" s="1" t="str">
        <f>INDEX(Customers!B:B,MATCH(B89,Customers!A:A,0))</f>
        <v>Nancy Uche</v>
      </c>
      <c r="H89" s="1" t="str">
        <f>INDEX(Customers!E:E,MATCH(B89,Customers!A:A,0))</f>
        <v>Female</v>
      </c>
      <c r="I89" s="1">
        <f>INDEX(Customers!C:C,MATCH(B89,Customers!A:A,0))</f>
        <v>33</v>
      </c>
      <c r="J89" s="1" t="str">
        <f>INDEX(Customers!D:D,MATCH(B89,Customers!A:A,0))</f>
        <v>Ilorin</v>
      </c>
      <c r="K89" s="1" t="str">
        <f>INDEX(Products!B:B,MATCH(C89,Products!A:A,0))</f>
        <v>Accessories</v>
      </c>
      <c r="L89" s="1" t="str">
        <f>INDEX(Products!C:C,MATCH(C89,Products!A:A,0))</f>
        <v>Beaded Necklace</v>
      </c>
      <c r="M89" s="1">
        <f>INDEX(Products!D:D,MATCH(C89,Products!A:A,0))</f>
        <v>25</v>
      </c>
      <c r="N89" s="1" t="str">
        <f t="shared" si="4"/>
        <v>Fall</v>
      </c>
      <c r="O89" s="1" t="str">
        <f t="shared" si="5"/>
        <v>20-40</v>
      </c>
      <c r="P89" s="1" t="str">
        <f t="shared" si="6"/>
        <v>No</v>
      </c>
      <c r="Q89" s="17" t="str">
        <f t="shared" si="7"/>
        <v>Used Code</v>
      </c>
    </row>
    <row r="90" spans="1:17" x14ac:dyDescent="0.25">
      <c r="A90" s="8">
        <v>5191</v>
      </c>
      <c r="B90" s="8" t="s">
        <v>106</v>
      </c>
      <c r="C90" s="8" t="s">
        <v>213</v>
      </c>
      <c r="D90" s="10">
        <v>45885</v>
      </c>
      <c r="E90" s="8" t="s">
        <v>233</v>
      </c>
      <c r="F90" s="8" t="s">
        <v>224</v>
      </c>
      <c r="G90" s="1" t="str">
        <f>INDEX(Customers!B:B,MATCH(B90,Customers!A:A,0))</f>
        <v>Grace Johnson</v>
      </c>
      <c r="H90" s="1" t="str">
        <f>INDEX(Customers!E:E,MATCH(B90,Customers!A:A,0))</f>
        <v>Female</v>
      </c>
      <c r="I90" s="1">
        <f>INDEX(Customers!C:C,MATCH(B90,Customers!A:A,0))</f>
        <v>34</v>
      </c>
      <c r="J90" s="1" t="str">
        <f>INDEX(Customers!D:D,MATCH(B90,Customers!A:A,0))</f>
        <v>Kano</v>
      </c>
      <c r="K90" s="1" t="str">
        <f>INDEX(Products!B:B,MATCH(C90,Products!A:A,0))</f>
        <v>Accessories</v>
      </c>
      <c r="L90" s="1" t="str">
        <f>INDEX(Products!C:C,MATCH(C90,Products!A:A,0))</f>
        <v>Ankle Boots</v>
      </c>
      <c r="M90" s="1">
        <f>INDEX(Products!D:D,MATCH(C90,Products!A:A,0))</f>
        <v>110</v>
      </c>
      <c r="N90" s="1" t="str">
        <f t="shared" si="4"/>
        <v>Summer</v>
      </c>
      <c r="O90" s="1" t="str">
        <f t="shared" si="5"/>
        <v>20-40</v>
      </c>
      <c r="P90" s="1" t="str">
        <f t="shared" si="6"/>
        <v>Yes</v>
      </c>
      <c r="Q90" s="17" t="str">
        <f t="shared" si="7"/>
        <v>Used Code</v>
      </c>
    </row>
    <row r="91" spans="1:17" x14ac:dyDescent="0.25">
      <c r="A91" s="8">
        <v>5149</v>
      </c>
      <c r="B91" s="8" t="s">
        <v>237</v>
      </c>
      <c r="C91" s="8" t="s">
        <v>207</v>
      </c>
      <c r="D91" s="10">
        <v>46133</v>
      </c>
      <c r="E91" s="8" t="s">
        <v>233</v>
      </c>
      <c r="F91" s="8"/>
      <c r="G91" s="1" t="str">
        <f>INDEX(Customers!B:B,MATCH(B91,Customers!A:A,0))</f>
        <v>Zainab White</v>
      </c>
      <c r="H91" s="1" t="str">
        <f>INDEX(Customers!E:E,MATCH(B91,Customers!A:A,0))</f>
        <v>Female</v>
      </c>
      <c r="I91" s="1">
        <f>INDEX(Customers!C:C,MATCH(B91,Customers!A:A,0))</f>
        <v>29</v>
      </c>
      <c r="J91" s="1" t="str">
        <f>INDEX(Customers!D:D,MATCH(B91,Customers!A:A,0))</f>
        <v>Uyo</v>
      </c>
      <c r="K91" s="1" t="str">
        <f>INDEX(Products!B:B,MATCH(C91,Products!A:A,0))</f>
        <v>Accessories</v>
      </c>
      <c r="L91" s="1" t="str">
        <f>INDEX(Products!C:C,MATCH(C91,Products!A:A,0))</f>
        <v>Hair Scarf</v>
      </c>
      <c r="M91" s="1">
        <f>INDEX(Products!D:D,MATCH(C91,Products!A:A,0))</f>
        <v>15</v>
      </c>
      <c r="N91" s="1" t="str">
        <f t="shared" si="4"/>
        <v>Spring</v>
      </c>
      <c r="O91" s="1" t="str">
        <f t="shared" si="5"/>
        <v>20-40</v>
      </c>
      <c r="P91" s="1" t="str">
        <f t="shared" si="6"/>
        <v>Yes</v>
      </c>
      <c r="Q91" s="17" t="str">
        <f t="shared" si="7"/>
        <v>No Code</v>
      </c>
    </row>
    <row r="92" spans="1:17" x14ac:dyDescent="0.25">
      <c r="A92" s="8">
        <v>5080</v>
      </c>
      <c r="B92" s="8" t="s">
        <v>138</v>
      </c>
      <c r="C92" s="8" t="s">
        <v>205</v>
      </c>
      <c r="D92" s="10">
        <v>46036</v>
      </c>
      <c r="E92" s="8" t="s">
        <v>352</v>
      </c>
      <c r="F92" s="8"/>
      <c r="G92" s="1" t="str">
        <f>INDEX(Customers!B:B,MATCH(B92,Customers!A:A,0))</f>
        <v>Kevin Wilson</v>
      </c>
      <c r="H92" s="1" t="str">
        <f>INDEX(Customers!E:E,MATCH(B92,Customers!A:A,0))</f>
        <v>Male</v>
      </c>
      <c r="I92" s="1">
        <f>INDEX(Customers!C:C,MATCH(B92,Customers!A:A,0))</f>
        <v>24</v>
      </c>
      <c r="J92" s="1" t="str">
        <f>INDEX(Customers!D:D,MATCH(B92,Customers!A:A,0))</f>
        <v>Kaduna</v>
      </c>
      <c r="K92" s="1" t="str">
        <f>INDEX(Products!B:B,MATCH(C92,Products!A:A,0))</f>
        <v>Accessories</v>
      </c>
      <c r="L92" s="1" t="str">
        <f>INDEX(Products!C:C,MATCH(C92,Products!A:A,0))</f>
        <v>Sunglasses</v>
      </c>
      <c r="M92" s="1">
        <f>INDEX(Products!D:D,MATCH(C92,Products!A:A,0))</f>
        <v>38</v>
      </c>
      <c r="N92" s="1" t="str">
        <f t="shared" si="4"/>
        <v>Winter</v>
      </c>
      <c r="O92" s="1" t="str">
        <f t="shared" si="5"/>
        <v>20-40</v>
      </c>
      <c r="P92" s="1" t="str">
        <f t="shared" si="6"/>
        <v>Yes</v>
      </c>
      <c r="Q92" s="17" t="str">
        <f t="shared" si="7"/>
        <v>No Code</v>
      </c>
    </row>
    <row r="93" spans="1:17" x14ac:dyDescent="0.25">
      <c r="A93" s="8">
        <v>5142</v>
      </c>
      <c r="B93" s="8" t="s">
        <v>170</v>
      </c>
      <c r="C93" s="8" t="s">
        <v>184</v>
      </c>
      <c r="D93" s="10">
        <v>45971</v>
      </c>
      <c r="E93" s="8" t="s">
        <v>231</v>
      </c>
      <c r="F93" s="8"/>
      <c r="G93" s="1" t="str">
        <f>INDEX(Customers!B:B,MATCH(B93,Customers!A:A,0))</f>
        <v>Linda Miller</v>
      </c>
      <c r="H93" s="1" t="str">
        <f>INDEX(Customers!E:E,MATCH(B93,Customers!A:A,0))</f>
        <v>Female</v>
      </c>
      <c r="I93" s="1">
        <f>INDEX(Customers!C:C,MATCH(B93,Customers!A:A,0))</f>
        <v>34</v>
      </c>
      <c r="J93" s="1" t="str">
        <f>INDEX(Customers!D:D,MATCH(B93,Customers!A:A,0))</f>
        <v>Owerri</v>
      </c>
      <c r="K93" s="1" t="str">
        <f>INDEX(Products!B:B,MATCH(C93,Products!A:A,0))</f>
        <v>Clothing</v>
      </c>
      <c r="L93" s="1" t="str">
        <f>INDEX(Products!C:C,MATCH(C93,Products!A:A,0))</f>
        <v>Silk Blouse</v>
      </c>
      <c r="M93" s="1">
        <f>INDEX(Products!D:D,MATCH(C93,Products!A:A,0))</f>
        <v>54</v>
      </c>
      <c r="N93" s="1" t="str">
        <f t="shared" si="4"/>
        <v>Fall</v>
      </c>
      <c r="O93" s="1" t="str">
        <f t="shared" si="5"/>
        <v>20-40</v>
      </c>
      <c r="P93" s="1" t="str">
        <f t="shared" si="6"/>
        <v>Yes</v>
      </c>
      <c r="Q93" s="17" t="str">
        <f t="shared" si="7"/>
        <v>No Code</v>
      </c>
    </row>
    <row r="94" spans="1:17" x14ac:dyDescent="0.25">
      <c r="A94" s="8">
        <v>5105</v>
      </c>
      <c r="B94" s="8" t="s">
        <v>238</v>
      </c>
      <c r="C94" s="8" t="s">
        <v>198</v>
      </c>
      <c r="D94" s="10">
        <v>45873</v>
      </c>
      <c r="E94" s="8" t="s">
        <v>353</v>
      </c>
      <c r="F94" s="8" t="s">
        <v>226</v>
      </c>
      <c r="G94" s="1" t="str">
        <f>INDEX(Customers!B:B,MATCH(B94,Customers!A:A,0))</f>
        <v>Halima Balogun</v>
      </c>
      <c r="H94" s="1" t="str">
        <f>INDEX(Customers!E:E,MATCH(B94,Customers!A:A,0))</f>
        <v>Female</v>
      </c>
      <c r="I94" s="1">
        <f>INDEX(Customers!C:C,MATCH(B94,Customers!A:A,0))</f>
        <v>32</v>
      </c>
      <c r="J94" s="1" t="str">
        <f>INDEX(Customers!D:D,MATCH(B94,Customers!A:A,0))</f>
        <v>Ibadan</v>
      </c>
      <c r="K94" s="1" t="str">
        <f>INDEX(Products!B:B,MATCH(C94,Products!A:A,0))</f>
        <v>Clothing</v>
      </c>
      <c r="L94" s="1" t="str">
        <f>INDEX(Products!C:C,MATCH(C94,Products!A:A,0))</f>
        <v>Knit Sweater</v>
      </c>
      <c r="M94" s="1">
        <f>INDEX(Products!D:D,MATCH(C94,Products!A:A,0))</f>
        <v>58</v>
      </c>
      <c r="N94" s="1" t="str">
        <f t="shared" si="4"/>
        <v>Summer</v>
      </c>
      <c r="O94" s="1" t="str">
        <f t="shared" si="5"/>
        <v>20-40</v>
      </c>
      <c r="P94" s="1" t="str">
        <f t="shared" si="6"/>
        <v>No</v>
      </c>
      <c r="Q94" s="17" t="str">
        <f t="shared" si="7"/>
        <v>Used Code</v>
      </c>
    </row>
    <row r="95" spans="1:17" x14ac:dyDescent="0.25">
      <c r="A95" s="8">
        <v>5063</v>
      </c>
      <c r="B95" s="8" t="s">
        <v>108</v>
      </c>
      <c r="C95" s="8" t="s">
        <v>219</v>
      </c>
      <c r="D95" s="10">
        <v>46146</v>
      </c>
      <c r="E95" s="8" t="s">
        <v>234</v>
      </c>
      <c r="F95" s="8"/>
      <c r="G95" s="1" t="str">
        <f>INDEX(Customers!B:B,MATCH(B95,Customers!A:A,0))</f>
        <v>John Adeyemi</v>
      </c>
      <c r="H95" s="1" t="str">
        <f>INDEX(Customers!E:E,MATCH(B95,Customers!A:A,0))</f>
        <v>Male</v>
      </c>
      <c r="I95" s="1">
        <f>INDEX(Customers!C:C,MATCH(B95,Customers!A:A,0))</f>
        <v>23</v>
      </c>
      <c r="J95" s="1" t="str">
        <f>INDEX(Customers!D:D,MATCH(B95,Customers!A:A,0))</f>
        <v>Port Harcourt</v>
      </c>
      <c r="K95" s="1" t="str">
        <f>INDEX(Products!B:B,MATCH(C95,Products!A:A,0))</f>
        <v>Accessories</v>
      </c>
      <c r="L95" s="1" t="str">
        <f>INDEX(Products!C:C,MATCH(C95,Products!A:A,0))</f>
        <v>Waist Belt</v>
      </c>
      <c r="M95" s="1">
        <f>INDEX(Products!D:D,MATCH(C95,Products!A:A,0))</f>
        <v>33</v>
      </c>
      <c r="N95" s="1" t="str">
        <f t="shared" si="4"/>
        <v>Spring</v>
      </c>
      <c r="O95" s="1" t="str">
        <f t="shared" si="5"/>
        <v>20-40</v>
      </c>
      <c r="P95" s="1" t="str">
        <f t="shared" si="6"/>
        <v>Yes</v>
      </c>
      <c r="Q95" s="17" t="str">
        <f t="shared" si="7"/>
        <v>No Code</v>
      </c>
    </row>
    <row r="96" spans="1:17" x14ac:dyDescent="0.25">
      <c r="A96" s="8">
        <v>5148</v>
      </c>
      <c r="B96" s="8" t="s">
        <v>237</v>
      </c>
      <c r="C96" s="8" t="s">
        <v>196</v>
      </c>
      <c r="D96" s="10">
        <v>45991</v>
      </c>
      <c r="E96" s="8" t="s">
        <v>231</v>
      </c>
      <c r="F96" s="8"/>
      <c r="G96" s="1" t="str">
        <f>INDEX(Customers!B:B,MATCH(B96,Customers!A:A,0))</f>
        <v>Zainab White</v>
      </c>
      <c r="H96" s="1" t="str">
        <f>INDEX(Customers!E:E,MATCH(B96,Customers!A:A,0))</f>
        <v>Female</v>
      </c>
      <c r="I96" s="1">
        <f>INDEX(Customers!C:C,MATCH(B96,Customers!A:A,0))</f>
        <v>29</v>
      </c>
      <c r="J96" s="1" t="str">
        <f>INDEX(Customers!D:D,MATCH(B96,Customers!A:A,0))</f>
        <v>Uyo</v>
      </c>
      <c r="K96" s="1" t="str">
        <f>INDEX(Products!B:B,MATCH(C96,Products!A:A,0))</f>
        <v>Clothing</v>
      </c>
      <c r="L96" s="1" t="str">
        <f>INDEX(Products!C:C,MATCH(C96,Products!A:A,0))</f>
        <v>Wrap Skirt</v>
      </c>
      <c r="M96" s="1">
        <f>INDEX(Products!D:D,MATCH(C96,Products!A:A,0))</f>
        <v>42</v>
      </c>
      <c r="N96" s="1" t="str">
        <f t="shared" si="4"/>
        <v>Fall</v>
      </c>
      <c r="O96" s="1" t="str">
        <f t="shared" si="5"/>
        <v>20-40</v>
      </c>
      <c r="P96" s="1" t="str">
        <f t="shared" si="6"/>
        <v>Yes</v>
      </c>
      <c r="Q96" s="17" t="str">
        <f t="shared" si="7"/>
        <v>No Code</v>
      </c>
    </row>
    <row r="97" spans="1:17" x14ac:dyDescent="0.25">
      <c r="A97" s="8">
        <v>5048</v>
      </c>
      <c r="B97" s="8" t="s">
        <v>95</v>
      </c>
      <c r="C97" s="8" t="s">
        <v>179</v>
      </c>
      <c r="D97" s="10">
        <v>45947</v>
      </c>
      <c r="E97" s="8" t="s">
        <v>352</v>
      </c>
      <c r="F97" s="8"/>
      <c r="G97" s="1" t="str">
        <f>INDEX(Customers!B:B,MATCH(B97,Customers!A:A,0))</f>
        <v>James Harris</v>
      </c>
      <c r="H97" s="1" t="str">
        <f>INDEX(Customers!E:E,MATCH(B97,Customers!A:A,0))</f>
        <v>Male</v>
      </c>
      <c r="I97" s="1">
        <f>INDEX(Customers!C:C,MATCH(B97,Customers!A:A,0))</f>
        <v>23</v>
      </c>
      <c r="J97" s="1" t="str">
        <f>INDEX(Customers!D:D,MATCH(B97,Customers!A:A,0))</f>
        <v>Kano</v>
      </c>
      <c r="K97" s="1" t="str">
        <f>INDEX(Products!B:B,MATCH(C97,Products!A:A,0))</f>
        <v>Clothing</v>
      </c>
      <c r="L97" s="1" t="str">
        <f>INDEX(Products!C:C,MATCH(C97,Products!A:A,0))</f>
        <v>Ankara Dress</v>
      </c>
      <c r="M97" s="1">
        <f>INDEX(Products!D:D,MATCH(C97,Products!A:A,0))</f>
        <v>68</v>
      </c>
      <c r="N97" s="1" t="str">
        <f t="shared" si="4"/>
        <v>Fall</v>
      </c>
      <c r="O97" s="1" t="str">
        <f t="shared" si="5"/>
        <v>20-40</v>
      </c>
      <c r="P97" s="1" t="str">
        <f t="shared" si="6"/>
        <v>Yes</v>
      </c>
      <c r="Q97" s="17" t="str">
        <f t="shared" si="7"/>
        <v>No Code</v>
      </c>
    </row>
    <row r="98" spans="1:17" x14ac:dyDescent="0.25">
      <c r="A98" s="8">
        <v>5101</v>
      </c>
      <c r="B98" s="8" t="s">
        <v>171</v>
      </c>
      <c r="C98" s="8" t="s">
        <v>213</v>
      </c>
      <c r="D98" s="10">
        <v>45913</v>
      </c>
      <c r="E98" s="8" t="s">
        <v>231</v>
      </c>
      <c r="F98" s="8"/>
      <c r="G98" s="1" t="str">
        <f>INDEX(Customers!B:B,MATCH(B98,Customers!A:A,0))</f>
        <v>Nkechi White</v>
      </c>
      <c r="H98" s="1" t="str">
        <f>INDEX(Customers!E:E,MATCH(B98,Customers!A:A,0))</f>
        <v>Female</v>
      </c>
      <c r="I98" s="1">
        <f>INDEX(Customers!C:C,MATCH(B98,Customers!A:A,0))</f>
        <v>32</v>
      </c>
      <c r="J98" s="1" t="str">
        <f>INDEX(Customers!D:D,MATCH(B98,Customers!A:A,0))</f>
        <v>Owerri</v>
      </c>
      <c r="K98" s="1" t="str">
        <f>INDEX(Products!B:B,MATCH(C98,Products!A:A,0))</f>
        <v>Accessories</v>
      </c>
      <c r="L98" s="1" t="str">
        <f>INDEX(Products!C:C,MATCH(C98,Products!A:A,0))</f>
        <v>Ankle Boots</v>
      </c>
      <c r="M98" s="1">
        <f>INDEX(Products!D:D,MATCH(C98,Products!A:A,0))</f>
        <v>110</v>
      </c>
      <c r="N98" s="1" t="str">
        <f t="shared" si="4"/>
        <v>Fall</v>
      </c>
      <c r="O98" s="1" t="str">
        <f t="shared" si="5"/>
        <v>20-40</v>
      </c>
      <c r="P98" s="1" t="str">
        <f t="shared" si="6"/>
        <v>Yes</v>
      </c>
      <c r="Q98" s="17" t="str">
        <f t="shared" si="7"/>
        <v>No Code</v>
      </c>
    </row>
    <row r="99" spans="1:17" x14ac:dyDescent="0.25">
      <c r="A99" s="8">
        <v>5269</v>
      </c>
      <c r="B99" s="8" t="s">
        <v>172</v>
      </c>
      <c r="C99" s="8" t="s">
        <v>209</v>
      </c>
      <c r="D99" s="10">
        <v>45910</v>
      </c>
      <c r="E99" s="8" t="s">
        <v>231</v>
      </c>
      <c r="F99" s="8" t="s">
        <v>225</v>
      </c>
      <c r="G99" s="1" t="str">
        <f>INDEX(Customers!B:B,MATCH(B99,Customers!A:A,0))</f>
        <v>Linda Chukwu</v>
      </c>
      <c r="H99" s="1" t="str">
        <f>INDEX(Customers!E:E,MATCH(B99,Customers!A:A,0))</f>
        <v>Female</v>
      </c>
      <c r="I99" s="1">
        <f>INDEX(Customers!C:C,MATCH(B99,Customers!A:A,0))</f>
        <v>59</v>
      </c>
      <c r="J99" s="1" t="str">
        <f>INDEX(Customers!D:D,MATCH(B99,Customers!A:A,0))</f>
        <v>Ibadan</v>
      </c>
      <c r="K99" s="1" t="str">
        <f>INDEX(Products!B:B,MATCH(C99,Products!A:A,0))</f>
        <v>Accessories</v>
      </c>
      <c r="L99" s="1" t="str">
        <f>INDEX(Products!C:C,MATCH(C99,Products!A:A,0))</f>
        <v>Tote Bag</v>
      </c>
      <c r="M99" s="1">
        <f>INDEX(Products!D:D,MATCH(C99,Products!A:A,0))</f>
        <v>62</v>
      </c>
      <c r="N99" s="1" t="str">
        <f t="shared" si="4"/>
        <v>Fall</v>
      </c>
      <c r="O99" s="1" t="str">
        <f t="shared" si="5"/>
        <v>40-60</v>
      </c>
      <c r="P99" s="1" t="str">
        <f t="shared" si="6"/>
        <v>Yes</v>
      </c>
      <c r="Q99" s="17" t="str">
        <f t="shared" si="7"/>
        <v>Used Code</v>
      </c>
    </row>
    <row r="100" spans="1:17" x14ac:dyDescent="0.25">
      <c r="A100" s="8">
        <v>5212</v>
      </c>
      <c r="B100" s="8" t="s">
        <v>41</v>
      </c>
      <c r="C100" s="8" t="s">
        <v>188</v>
      </c>
      <c r="D100" s="10">
        <v>45830</v>
      </c>
      <c r="E100" s="8" t="s">
        <v>231</v>
      </c>
      <c r="F100" s="8" t="s">
        <v>224</v>
      </c>
      <c r="G100" s="1" t="str">
        <f>INDEX(Customers!B:B,MATCH(B100,Customers!A:A,0))</f>
        <v>Rita Moore</v>
      </c>
      <c r="H100" s="1" t="str">
        <f>INDEX(Customers!E:E,MATCH(B100,Customers!A:A,0))</f>
        <v>Female</v>
      </c>
      <c r="I100" s="1">
        <f>INDEX(Customers!C:C,MATCH(B100,Customers!A:A,0))</f>
        <v>50</v>
      </c>
      <c r="J100" s="1" t="str">
        <f>INDEX(Customers!D:D,MATCH(B100,Customers!A:A,0))</f>
        <v>Abeokuta</v>
      </c>
      <c r="K100" s="1" t="str">
        <f>INDEX(Products!B:B,MATCH(C100,Products!A:A,0))</f>
        <v>Clothing</v>
      </c>
      <c r="L100" s="1" t="str">
        <f>INDEX(Products!C:C,MATCH(C100,Products!A:A,0))</f>
        <v>Linen Trousers</v>
      </c>
      <c r="M100" s="1">
        <f>INDEX(Products!D:D,MATCH(C100,Products!A:A,0))</f>
        <v>47</v>
      </c>
      <c r="N100" s="1" t="str">
        <f t="shared" si="4"/>
        <v>Summer</v>
      </c>
      <c r="O100" s="1" t="str">
        <f t="shared" si="5"/>
        <v>40-60</v>
      </c>
      <c r="P100" s="1" t="str">
        <f t="shared" si="6"/>
        <v>Yes</v>
      </c>
      <c r="Q100" s="17" t="str">
        <f t="shared" si="7"/>
        <v>Used Code</v>
      </c>
    </row>
    <row r="101" spans="1:17" x14ac:dyDescent="0.25">
      <c r="A101" s="8">
        <v>5287</v>
      </c>
      <c r="B101" s="8" t="s">
        <v>65</v>
      </c>
      <c r="C101" s="8" t="s">
        <v>192</v>
      </c>
      <c r="D101" s="10">
        <v>45871</v>
      </c>
      <c r="E101" s="8" t="s">
        <v>231</v>
      </c>
      <c r="F101" s="8"/>
      <c r="G101" s="1" t="str">
        <f>INDEX(Customers!B:B,MATCH(B101,Customers!A:A,0))</f>
        <v>Nancy Martin</v>
      </c>
      <c r="H101" s="1" t="str">
        <f>INDEX(Customers!E:E,MATCH(B101,Customers!A:A,0))</f>
        <v>Female</v>
      </c>
      <c r="I101" s="1">
        <f>INDEX(Customers!C:C,MATCH(B101,Customers!A:A,0))</f>
        <v>52</v>
      </c>
      <c r="J101" s="1" t="str">
        <f>INDEX(Customers!D:D,MATCH(B101,Customers!A:A,0))</f>
        <v>Abuja</v>
      </c>
      <c r="K101" s="1" t="str">
        <f>INDEX(Products!B:B,MATCH(C101,Products!A:A,0))</f>
        <v>Clothing</v>
      </c>
      <c r="L101" s="1" t="str">
        <f>INDEX(Products!C:C,MATCH(C101,Products!A:A,0))</f>
        <v>Blazer</v>
      </c>
      <c r="M101" s="1">
        <f>INDEX(Products!D:D,MATCH(C101,Products!A:A,0))</f>
        <v>135</v>
      </c>
      <c r="N101" s="1" t="str">
        <f t="shared" si="4"/>
        <v>Summer</v>
      </c>
      <c r="O101" s="1" t="str">
        <f t="shared" si="5"/>
        <v>40-60</v>
      </c>
      <c r="P101" s="1" t="str">
        <f t="shared" si="6"/>
        <v>Yes</v>
      </c>
      <c r="Q101" s="17" t="str">
        <f t="shared" si="7"/>
        <v>No Code</v>
      </c>
    </row>
    <row r="102" spans="1:17" x14ac:dyDescent="0.25">
      <c r="A102" s="8">
        <v>5130</v>
      </c>
      <c r="B102" s="8" t="s">
        <v>173</v>
      </c>
      <c r="C102" s="8" t="s">
        <v>215</v>
      </c>
      <c r="D102" s="10">
        <v>46129</v>
      </c>
      <c r="E102" s="8" t="s">
        <v>231</v>
      </c>
      <c r="F102" s="8"/>
      <c r="G102" s="1" t="str">
        <f>INDEX(Customers!B:B,MATCH(B102,Customers!A:A,0))</f>
        <v>Halima Moore</v>
      </c>
      <c r="H102" s="1" t="str">
        <f>INDEX(Customers!E:E,MATCH(B102,Customers!A:A,0))</f>
        <v>Female</v>
      </c>
      <c r="I102" s="1">
        <f>INDEX(Customers!C:C,MATCH(B102,Customers!A:A,0))</f>
        <v>43</v>
      </c>
      <c r="J102" s="1" t="str">
        <f>INDEX(Customers!D:D,MATCH(B102,Customers!A:A,0))</f>
        <v>Warri</v>
      </c>
      <c r="K102" s="1" t="str">
        <f>INDEX(Products!B:B,MATCH(C102,Products!A:A,0))</f>
        <v>Accessories</v>
      </c>
      <c r="L102" s="1" t="str">
        <f>INDEX(Products!C:C,MATCH(C102,Products!A:A,0))</f>
        <v>Clutch Purse</v>
      </c>
      <c r="M102" s="1">
        <f>INDEX(Products!D:D,MATCH(C102,Products!A:A,0))</f>
        <v>48</v>
      </c>
      <c r="N102" s="1" t="str">
        <f t="shared" si="4"/>
        <v>Spring</v>
      </c>
      <c r="O102" s="1" t="str">
        <f t="shared" si="5"/>
        <v>40-60</v>
      </c>
      <c r="P102" s="1" t="str">
        <f t="shared" si="6"/>
        <v>No</v>
      </c>
      <c r="Q102" s="17" t="str">
        <f t="shared" si="7"/>
        <v>No Code</v>
      </c>
    </row>
    <row r="103" spans="1:17" x14ac:dyDescent="0.25">
      <c r="A103" s="8">
        <v>5225</v>
      </c>
      <c r="B103" s="8" t="s">
        <v>239</v>
      </c>
      <c r="C103" s="8" t="s">
        <v>184</v>
      </c>
      <c r="D103" s="10">
        <v>45896</v>
      </c>
      <c r="E103" s="8" t="s">
        <v>231</v>
      </c>
      <c r="F103" s="8"/>
      <c r="G103" s="1" t="str">
        <f>INDEX(Customers!B:B,MATCH(B103,Customers!A:A,0))</f>
        <v>Halima Nwosu</v>
      </c>
      <c r="H103" s="1" t="str">
        <f>INDEX(Customers!E:E,MATCH(B103,Customers!A:A,0))</f>
        <v>Female</v>
      </c>
      <c r="I103" s="1">
        <f>INDEX(Customers!C:C,MATCH(B103,Customers!A:A,0))</f>
        <v>21</v>
      </c>
      <c r="J103" s="1" t="str">
        <f>INDEX(Customers!D:D,MATCH(B103,Customers!A:A,0))</f>
        <v>Calabar</v>
      </c>
      <c r="K103" s="1" t="str">
        <f>INDEX(Products!B:B,MATCH(C103,Products!A:A,0))</f>
        <v>Clothing</v>
      </c>
      <c r="L103" s="1" t="str">
        <f>INDEX(Products!C:C,MATCH(C103,Products!A:A,0))</f>
        <v>Silk Blouse</v>
      </c>
      <c r="M103" s="1">
        <f>INDEX(Products!D:D,MATCH(C103,Products!A:A,0))</f>
        <v>54</v>
      </c>
      <c r="N103" s="1" t="str">
        <f t="shared" si="4"/>
        <v>Summer</v>
      </c>
      <c r="O103" s="1" t="str">
        <f t="shared" si="5"/>
        <v>20-40</v>
      </c>
      <c r="P103" s="1" t="str">
        <f t="shared" si="6"/>
        <v>Yes</v>
      </c>
      <c r="Q103" s="17" t="str">
        <f t="shared" si="7"/>
        <v>No Code</v>
      </c>
    </row>
    <row r="104" spans="1:17" x14ac:dyDescent="0.25">
      <c r="A104" s="8">
        <v>5229</v>
      </c>
      <c r="B104" s="8" t="s">
        <v>23</v>
      </c>
      <c r="C104" s="8" t="s">
        <v>213</v>
      </c>
      <c r="D104" s="10">
        <v>46156</v>
      </c>
      <c r="E104" s="8" t="s">
        <v>231</v>
      </c>
      <c r="F104" s="8"/>
      <c r="G104" s="1" t="str">
        <f>INDEX(Customers!B:B,MATCH(B104,Customers!A:A,0))</f>
        <v>Amara Johnson</v>
      </c>
      <c r="H104" s="1" t="str">
        <f>INDEX(Customers!E:E,MATCH(B104,Customers!A:A,0))</f>
        <v>Female</v>
      </c>
      <c r="I104" s="1">
        <f>INDEX(Customers!C:C,MATCH(B104,Customers!A:A,0))</f>
        <v>58</v>
      </c>
      <c r="J104" s="1" t="str">
        <f>INDEX(Customers!D:D,MATCH(B104,Customers!A:A,0))</f>
        <v>Warri</v>
      </c>
      <c r="K104" s="1" t="str">
        <f>INDEX(Products!B:B,MATCH(C104,Products!A:A,0))</f>
        <v>Accessories</v>
      </c>
      <c r="L104" s="1" t="str">
        <f>INDEX(Products!C:C,MATCH(C104,Products!A:A,0))</f>
        <v>Ankle Boots</v>
      </c>
      <c r="M104" s="1">
        <f>INDEX(Products!D:D,MATCH(C104,Products!A:A,0))</f>
        <v>110</v>
      </c>
      <c r="N104" s="1" t="str">
        <f t="shared" si="4"/>
        <v>Spring</v>
      </c>
      <c r="O104" s="1" t="str">
        <f t="shared" si="5"/>
        <v>40-60</v>
      </c>
      <c r="P104" s="1" t="str">
        <f t="shared" si="6"/>
        <v>Yes</v>
      </c>
      <c r="Q104" s="17" t="str">
        <f t="shared" si="7"/>
        <v>No Code</v>
      </c>
    </row>
    <row r="105" spans="1:17" x14ac:dyDescent="0.25">
      <c r="A105" s="8">
        <v>5188</v>
      </c>
      <c r="B105" s="8" t="s">
        <v>106</v>
      </c>
      <c r="C105" s="8" t="s">
        <v>188</v>
      </c>
      <c r="D105" s="10">
        <v>46147</v>
      </c>
      <c r="E105" s="8" t="s">
        <v>353</v>
      </c>
      <c r="F105" s="8"/>
      <c r="G105" s="1" t="str">
        <f>INDEX(Customers!B:B,MATCH(B105,Customers!A:A,0))</f>
        <v>Grace Johnson</v>
      </c>
      <c r="H105" s="1" t="str">
        <f>INDEX(Customers!E:E,MATCH(B105,Customers!A:A,0))</f>
        <v>Female</v>
      </c>
      <c r="I105" s="1">
        <f>INDEX(Customers!C:C,MATCH(B105,Customers!A:A,0))</f>
        <v>34</v>
      </c>
      <c r="J105" s="1" t="str">
        <f>INDEX(Customers!D:D,MATCH(B105,Customers!A:A,0))</f>
        <v>Kano</v>
      </c>
      <c r="K105" s="1" t="str">
        <f>INDEX(Products!B:B,MATCH(C105,Products!A:A,0))</f>
        <v>Clothing</v>
      </c>
      <c r="L105" s="1" t="str">
        <f>INDEX(Products!C:C,MATCH(C105,Products!A:A,0))</f>
        <v>Linen Trousers</v>
      </c>
      <c r="M105" s="1">
        <f>INDEX(Products!D:D,MATCH(C105,Products!A:A,0))</f>
        <v>47</v>
      </c>
      <c r="N105" s="1" t="str">
        <f t="shared" si="4"/>
        <v>Spring</v>
      </c>
      <c r="O105" s="1" t="str">
        <f t="shared" si="5"/>
        <v>20-40</v>
      </c>
      <c r="P105" s="1" t="str">
        <f t="shared" si="6"/>
        <v>Yes</v>
      </c>
      <c r="Q105" s="17" t="str">
        <f t="shared" si="7"/>
        <v>No Code</v>
      </c>
    </row>
    <row r="106" spans="1:17" x14ac:dyDescent="0.25">
      <c r="A106" s="8">
        <v>5004</v>
      </c>
      <c r="B106" s="8" t="s">
        <v>114</v>
      </c>
      <c r="C106" s="8" t="s">
        <v>179</v>
      </c>
      <c r="D106" s="10">
        <v>45916</v>
      </c>
      <c r="E106" s="8" t="s">
        <v>233</v>
      </c>
      <c r="F106" s="8" t="s">
        <v>223</v>
      </c>
      <c r="G106" s="1" t="str">
        <f>INDEX(Customers!B:B,MATCH(B106,Customers!A:A,0))</f>
        <v>Tunde Wilson</v>
      </c>
      <c r="H106" s="1" t="str">
        <f>INDEX(Customers!E:E,MATCH(B106,Customers!A:A,0))</f>
        <v>Male</v>
      </c>
      <c r="I106" s="1">
        <f>INDEX(Customers!C:C,MATCH(B106,Customers!A:A,0))</f>
        <v>59</v>
      </c>
      <c r="J106" s="1" t="str">
        <f>INDEX(Customers!D:D,MATCH(B106,Customers!A:A,0))</f>
        <v>Lagos</v>
      </c>
      <c r="K106" s="1" t="str">
        <f>INDEX(Products!B:B,MATCH(C106,Products!A:A,0))</f>
        <v>Clothing</v>
      </c>
      <c r="L106" s="1" t="str">
        <f>INDEX(Products!C:C,MATCH(C106,Products!A:A,0))</f>
        <v>Ankara Dress</v>
      </c>
      <c r="M106" s="1">
        <f>INDEX(Products!D:D,MATCH(C106,Products!A:A,0))</f>
        <v>68</v>
      </c>
      <c r="N106" s="1" t="str">
        <f t="shared" si="4"/>
        <v>Fall</v>
      </c>
      <c r="O106" s="1" t="str">
        <f t="shared" si="5"/>
        <v>40-60</v>
      </c>
      <c r="P106" s="1" t="str">
        <f t="shared" si="6"/>
        <v>Yes</v>
      </c>
      <c r="Q106" s="17" t="str">
        <f t="shared" si="7"/>
        <v>Used Code</v>
      </c>
    </row>
    <row r="107" spans="1:17" x14ac:dyDescent="0.25">
      <c r="A107" s="8">
        <v>5186</v>
      </c>
      <c r="B107" s="8" t="s">
        <v>154</v>
      </c>
      <c r="C107" s="8" t="s">
        <v>215</v>
      </c>
      <c r="D107" s="10">
        <v>46149</v>
      </c>
      <c r="E107" s="8" t="s">
        <v>231</v>
      </c>
      <c r="F107" s="8" t="s">
        <v>226</v>
      </c>
      <c r="G107" s="1" t="str">
        <f>INDEX(Customers!B:B,MATCH(B107,Customers!A:A,0))</f>
        <v>Yusuf Johnson</v>
      </c>
      <c r="H107" s="1" t="str">
        <f>INDEX(Customers!E:E,MATCH(B107,Customers!A:A,0))</f>
        <v>Male</v>
      </c>
      <c r="I107" s="1">
        <f>INDEX(Customers!C:C,MATCH(B107,Customers!A:A,0))</f>
        <v>25</v>
      </c>
      <c r="J107" s="1" t="str">
        <f>INDEX(Customers!D:D,MATCH(B107,Customers!A:A,0))</f>
        <v>Ilorin</v>
      </c>
      <c r="K107" s="1" t="str">
        <f>INDEX(Products!B:B,MATCH(C107,Products!A:A,0))</f>
        <v>Accessories</v>
      </c>
      <c r="L107" s="1" t="str">
        <f>INDEX(Products!C:C,MATCH(C107,Products!A:A,0))</f>
        <v>Clutch Purse</v>
      </c>
      <c r="M107" s="1">
        <f>INDEX(Products!D:D,MATCH(C107,Products!A:A,0))</f>
        <v>48</v>
      </c>
      <c r="N107" s="1" t="str">
        <f t="shared" si="4"/>
        <v>Spring</v>
      </c>
      <c r="O107" s="1" t="str">
        <f t="shared" si="5"/>
        <v>20-40</v>
      </c>
      <c r="P107" s="1" t="str">
        <f t="shared" si="6"/>
        <v>No</v>
      </c>
      <c r="Q107" s="17" t="str">
        <f t="shared" si="7"/>
        <v>Used Code</v>
      </c>
    </row>
    <row r="108" spans="1:17" x14ac:dyDescent="0.25">
      <c r="A108" s="8">
        <v>5286</v>
      </c>
      <c r="B108" s="8" t="s">
        <v>65</v>
      </c>
      <c r="C108" s="8" t="s">
        <v>215</v>
      </c>
      <c r="D108" s="10">
        <v>46330</v>
      </c>
      <c r="E108" s="8" t="s">
        <v>352</v>
      </c>
      <c r="F108" s="8" t="s">
        <v>223</v>
      </c>
      <c r="G108" s="1" t="str">
        <f>INDEX(Customers!B:B,MATCH(B108,Customers!A:A,0))</f>
        <v>Nancy Martin</v>
      </c>
      <c r="H108" s="1" t="str">
        <f>INDEX(Customers!E:E,MATCH(B108,Customers!A:A,0))</f>
        <v>Female</v>
      </c>
      <c r="I108" s="1">
        <f>INDEX(Customers!C:C,MATCH(B108,Customers!A:A,0))</f>
        <v>52</v>
      </c>
      <c r="J108" s="1" t="str">
        <f>INDEX(Customers!D:D,MATCH(B108,Customers!A:A,0))</f>
        <v>Abuja</v>
      </c>
      <c r="K108" s="1" t="str">
        <f>INDEX(Products!B:B,MATCH(C108,Products!A:A,0))</f>
        <v>Accessories</v>
      </c>
      <c r="L108" s="1" t="str">
        <f>INDEX(Products!C:C,MATCH(C108,Products!A:A,0))</f>
        <v>Clutch Purse</v>
      </c>
      <c r="M108" s="1">
        <f>INDEX(Products!D:D,MATCH(C108,Products!A:A,0))</f>
        <v>48</v>
      </c>
      <c r="N108" s="1" t="str">
        <f t="shared" si="4"/>
        <v>Fall</v>
      </c>
      <c r="O108" s="1" t="str">
        <f t="shared" si="5"/>
        <v>40-60</v>
      </c>
      <c r="P108" s="1" t="str">
        <f t="shared" si="6"/>
        <v>Yes</v>
      </c>
      <c r="Q108" s="17" t="str">
        <f t="shared" si="7"/>
        <v>Used Code</v>
      </c>
    </row>
    <row r="109" spans="1:17" x14ac:dyDescent="0.25">
      <c r="A109" s="8">
        <v>5008</v>
      </c>
      <c r="B109" s="8" t="s">
        <v>119</v>
      </c>
      <c r="C109" s="8" t="s">
        <v>194</v>
      </c>
      <c r="D109" s="10">
        <v>46328</v>
      </c>
      <c r="E109" s="8" t="s">
        <v>231</v>
      </c>
      <c r="F109" s="8" t="s">
        <v>225</v>
      </c>
      <c r="G109" s="1" t="str">
        <f>INDEX(Customers!B:B,MATCH(B109,Customers!A:A,0))</f>
        <v>Nancy Brown</v>
      </c>
      <c r="H109" s="1" t="str">
        <f>INDEX(Customers!E:E,MATCH(B109,Customers!A:A,0))</f>
        <v>Female</v>
      </c>
      <c r="I109" s="1">
        <f>INDEX(Customers!C:C,MATCH(B109,Customers!A:A,0))</f>
        <v>20</v>
      </c>
      <c r="J109" s="1" t="str">
        <f>INDEX(Customers!D:D,MATCH(B109,Customers!A:A,0))</f>
        <v>Abuja</v>
      </c>
      <c r="K109" s="1" t="str">
        <f>INDEX(Products!B:B,MATCH(C109,Products!A:A,0))</f>
        <v>Clothing</v>
      </c>
      <c r="L109" s="1" t="str">
        <f>INDEX(Products!C:C,MATCH(C109,Products!A:A,0))</f>
        <v>Jumpsuit</v>
      </c>
      <c r="M109" s="1">
        <f>INDEX(Products!D:D,MATCH(C109,Products!A:A,0))</f>
        <v>76</v>
      </c>
      <c r="N109" s="1" t="str">
        <f t="shared" si="4"/>
        <v>Fall</v>
      </c>
      <c r="O109" s="1" t="str">
        <f t="shared" si="5"/>
        <v>20-40</v>
      </c>
      <c r="P109" s="1" t="str">
        <f t="shared" si="6"/>
        <v>Yes</v>
      </c>
      <c r="Q109" s="17" t="str">
        <f t="shared" si="7"/>
        <v>Used Code</v>
      </c>
    </row>
    <row r="110" spans="1:17" x14ac:dyDescent="0.25">
      <c r="A110" s="8">
        <v>5075</v>
      </c>
      <c r="B110" s="8" t="s">
        <v>100</v>
      </c>
      <c r="C110" s="8" t="s">
        <v>213</v>
      </c>
      <c r="D110" s="10">
        <v>45924</v>
      </c>
      <c r="E110" s="8" t="s">
        <v>231</v>
      </c>
      <c r="F110" s="8" t="s">
        <v>225</v>
      </c>
      <c r="G110" s="1" t="str">
        <f>INDEX(Customers!B:B,MATCH(B110,Customers!A:A,0))</f>
        <v>Tunde Jackson</v>
      </c>
      <c r="H110" s="1" t="str">
        <f>INDEX(Customers!E:E,MATCH(B110,Customers!A:A,0))</f>
        <v>Male</v>
      </c>
      <c r="I110" s="1">
        <f>INDEX(Customers!C:C,MATCH(B110,Customers!A:A,0))</f>
        <v>50</v>
      </c>
      <c r="J110" s="1" t="str">
        <f>INDEX(Customers!D:D,MATCH(B110,Customers!A:A,0))</f>
        <v>Uyo</v>
      </c>
      <c r="K110" s="1" t="str">
        <f>INDEX(Products!B:B,MATCH(C110,Products!A:A,0))</f>
        <v>Accessories</v>
      </c>
      <c r="L110" s="1" t="str">
        <f>INDEX(Products!C:C,MATCH(C110,Products!A:A,0))</f>
        <v>Ankle Boots</v>
      </c>
      <c r="M110" s="1">
        <f>INDEX(Products!D:D,MATCH(C110,Products!A:A,0))</f>
        <v>110</v>
      </c>
      <c r="N110" s="1" t="str">
        <f t="shared" si="4"/>
        <v>Fall</v>
      </c>
      <c r="O110" s="1" t="str">
        <f t="shared" si="5"/>
        <v>40-60</v>
      </c>
      <c r="P110" s="1" t="str">
        <f t="shared" si="6"/>
        <v>Yes</v>
      </c>
      <c r="Q110" s="17" t="str">
        <f t="shared" si="7"/>
        <v>Used Code</v>
      </c>
    </row>
    <row r="111" spans="1:17" x14ac:dyDescent="0.25">
      <c r="A111" s="8">
        <v>5041</v>
      </c>
      <c r="B111" s="8" t="s">
        <v>18</v>
      </c>
      <c r="C111" s="8" t="s">
        <v>196</v>
      </c>
      <c r="D111" s="10">
        <v>45989</v>
      </c>
      <c r="E111" s="8" t="s">
        <v>234</v>
      </c>
      <c r="F111" s="8"/>
      <c r="G111" s="1" t="str">
        <f>INDEX(Customers!B:B,MATCH(B111,Customers!A:A,0))</f>
        <v>Tunde Uche</v>
      </c>
      <c r="H111" s="1" t="str">
        <f>INDEX(Customers!E:E,MATCH(B111,Customers!A:A,0))</f>
        <v>Male</v>
      </c>
      <c r="I111" s="1">
        <f>INDEX(Customers!C:C,MATCH(B111,Customers!A:A,0))</f>
        <v>44</v>
      </c>
      <c r="J111" s="1" t="str">
        <f>INDEX(Customers!D:D,MATCH(B111,Customers!A:A,0))</f>
        <v>Lagos</v>
      </c>
      <c r="K111" s="1" t="str">
        <f>INDEX(Products!B:B,MATCH(C111,Products!A:A,0))</f>
        <v>Clothing</v>
      </c>
      <c r="L111" s="1" t="str">
        <f>INDEX(Products!C:C,MATCH(C111,Products!A:A,0))</f>
        <v>Wrap Skirt</v>
      </c>
      <c r="M111" s="1">
        <f>INDEX(Products!D:D,MATCH(C111,Products!A:A,0))</f>
        <v>42</v>
      </c>
      <c r="N111" s="1" t="str">
        <f t="shared" si="4"/>
        <v>Fall</v>
      </c>
      <c r="O111" s="1" t="str">
        <f t="shared" si="5"/>
        <v>40-60</v>
      </c>
      <c r="P111" s="1" t="str">
        <f t="shared" si="6"/>
        <v>No</v>
      </c>
      <c r="Q111" s="17" t="str">
        <f t="shared" si="7"/>
        <v>No Code</v>
      </c>
    </row>
    <row r="112" spans="1:17" x14ac:dyDescent="0.25">
      <c r="A112" s="8">
        <v>5096</v>
      </c>
      <c r="B112" s="8" t="s">
        <v>44</v>
      </c>
      <c r="C112" s="8" t="s">
        <v>203</v>
      </c>
      <c r="D112" s="10">
        <v>46003</v>
      </c>
      <c r="E112" s="8" t="s">
        <v>231</v>
      </c>
      <c r="F112" s="8"/>
      <c r="G112" s="1" t="str">
        <f>INDEX(Customers!B:B,MATCH(B112,Customers!A:A,0))</f>
        <v>Nancy Okafor</v>
      </c>
      <c r="H112" s="1" t="str">
        <f>INDEX(Customers!E:E,MATCH(B112,Customers!A:A,0))</f>
        <v>Female</v>
      </c>
      <c r="I112" s="1">
        <f>INDEX(Customers!C:C,MATCH(B112,Customers!A:A,0))</f>
        <v>31</v>
      </c>
      <c r="J112" s="1" t="str">
        <f>INDEX(Customers!D:D,MATCH(B112,Customers!A:A,0))</f>
        <v>Owerri</v>
      </c>
      <c r="K112" s="1" t="str">
        <f>INDEX(Products!B:B,MATCH(C112,Products!A:A,0))</f>
        <v>Accessories</v>
      </c>
      <c r="L112" s="1" t="str">
        <f>INDEX(Products!C:C,MATCH(C112,Products!A:A,0))</f>
        <v>Leather Handbag</v>
      </c>
      <c r="M112" s="1">
        <f>INDEX(Products!D:D,MATCH(C112,Products!A:A,0))</f>
        <v>145</v>
      </c>
      <c r="N112" s="1" t="str">
        <f t="shared" si="4"/>
        <v>Winter</v>
      </c>
      <c r="O112" s="1" t="str">
        <f t="shared" si="5"/>
        <v>20-40</v>
      </c>
      <c r="P112" s="1" t="str">
        <f t="shared" si="6"/>
        <v>Yes</v>
      </c>
      <c r="Q112" s="17" t="str">
        <f t="shared" si="7"/>
        <v>No Code</v>
      </c>
    </row>
    <row r="113" spans="1:17" x14ac:dyDescent="0.25">
      <c r="A113" s="8">
        <v>5025</v>
      </c>
      <c r="B113" s="8" t="s">
        <v>7</v>
      </c>
      <c r="C113" s="8" t="s">
        <v>198</v>
      </c>
      <c r="D113" s="10">
        <v>45849</v>
      </c>
      <c r="E113" s="8" t="s">
        <v>231</v>
      </c>
      <c r="F113" s="8"/>
      <c r="G113" s="1" t="str">
        <f>INDEX(Customers!B:B,MATCH(B113,Customers!A:A,0))</f>
        <v>Grace Anderson</v>
      </c>
      <c r="H113" s="1" t="str">
        <f>INDEX(Customers!E:E,MATCH(B113,Customers!A:A,0))</f>
        <v>Female</v>
      </c>
      <c r="I113" s="1">
        <f>INDEX(Customers!C:C,MATCH(B113,Customers!A:A,0))</f>
        <v>54</v>
      </c>
      <c r="J113" s="1" t="str">
        <f>INDEX(Customers!D:D,MATCH(B113,Customers!A:A,0))</f>
        <v>Abeokuta</v>
      </c>
      <c r="K113" s="1" t="str">
        <f>INDEX(Products!B:B,MATCH(C113,Products!A:A,0))</f>
        <v>Clothing</v>
      </c>
      <c r="L113" s="1" t="str">
        <f>INDEX(Products!C:C,MATCH(C113,Products!A:A,0))</f>
        <v>Knit Sweater</v>
      </c>
      <c r="M113" s="1">
        <f>INDEX(Products!D:D,MATCH(C113,Products!A:A,0))</f>
        <v>58</v>
      </c>
      <c r="N113" s="1" t="str">
        <f t="shared" si="4"/>
        <v>Summer</v>
      </c>
      <c r="O113" s="1" t="str">
        <f t="shared" si="5"/>
        <v>40-60</v>
      </c>
      <c r="P113" s="1" t="str">
        <f t="shared" si="6"/>
        <v>Yes</v>
      </c>
      <c r="Q113" s="17" t="str">
        <f t="shared" si="7"/>
        <v>No Code</v>
      </c>
    </row>
    <row r="114" spans="1:17" x14ac:dyDescent="0.25">
      <c r="A114" s="8">
        <v>5108</v>
      </c>
      <c r="B114" s="8" t="s">
        <v>50</v>
      </c>
      <c r="C114" s="8" t="s">
        <v>205</v>
      </c>
      <c r="D114" s="10">
        <v>45829</v>
      </c>
      <c r="E114" s="8" t="s">
        <v>231</v>
      </c>
      <c r="F114" s="8" t="s">
        <v>225</v>
      </c>
      <c r="G114" s="1" t="str">
        <f>INDEX(Customers!B:B,MATCH(B114,Customers!A:A,0))</f>
        <v>Mark Balogun</v>
      </c>
      <c r="H114" s="1" t="str">
        <f>INDEX(Customers!E:E,MATCH(B114,Customers!A:A,0))</f>
        <v>Male</v>
      </c>
      <c r="I114" s="1">
        <f>INDEX(Customers!C:C,MATCH(B114,Customers!A:A,0))</f>
        <v>19</v>
      </c>
      <c r="J114" s="1" t="str">
        <f>INDEX(Customers!D:D,MATCH(B114,Customers!A:A,0))</f>
        <v>Lagos</v>
      </c>
      <c r="K114" s="1" t="str">
        <f>INDEX(Products!B:B,MATCH(C114,Products!A:A,0))</f>
        <v>Accessories</v>
      </c>
      <c r="L114" s="1" t="str">
        <f>INDEX(Products!C:C,MATCH(C114,Products!A:A,0))</f>
        <v>Sunglasses</v>
      </c>
      <c r="M114" s="1">
        <f>INDEX(Products!D:D,MATCH(C114,Products!A:A,0))</f>
        <v>38</v>
      </c>
      <c r="N114" s="1" t="str">
        <f t="shared" si="4"/>
        <v>Summer</v>
      </c>
      <c r="O114" s="1" t="str">
        <f t="shared" si="5"/>
        <v>&lt;20</v>
      </c>
      <c r="P114" s="1" t="str">
        <f t="shared" si="6"/>
        <v>Yes</v>
      </c>
      <c r="Q114" s="17" t="str">
        <f t="shared" si="7"/>
        <v>Used Code</v>
      </c>
    </row>
    <row r="115" spans="1:17" x14ac:dyDescent="0.25">
      <c r="A115" s="8">
        <v>5266</v>
      </c>
      <c r="B115" s="8" t="s">
        <v>31</v>
      </c>
      <c r="C115" s="8" t="s">
        <v>213</v>
      </c>
      <c r="D115" s="10">
        <v>46110</v>
      </c>
      <c r="E115" s="8" t="s">
        <v>353</v>
      </c>
      <c r="F115" s="8"/>
      <c r="G115" s="1" t="str">
        <f>INDEX(Customers!B:B,MATCH(B115,Customers!A:A,0))</f>
        <v>Yusuf Adeyemi</v>
      </c>
      <c r="H115" s="1" t="str">
        <f>INDEX(Customers!E:E,MATCH(B115,Customers!A:A,0))</f>
        <v>Male</v>
      </c>
      <c r="I115" s="1">
        <f>INDEX(Customers!C:C,MATCH(B115,Customers!A:A,0))</f>
        <v>39</v>
      </c>
      <c r="J115" s="1" t="str">
        <f>INDEX(Customers!D:D,MATCH(B115,Customers!A:A,0))</f>
        <v>Jos</v>
      </c>
      <c r="K115" s="1" t="str">
        <f>INDEX(Products!B:B,MATCH(C115,Products!A:A,0))</f>
        <v>Accessories</v>
      </c>
      <c r="L115" s="1" t="str">
        <f>INDEX(Products!C:C,MATCH(C115,Products!A:A,0))</f>
        <v>Ankle Boots</v>
      </c>
      <c r="M115" s="1">
        <f>INDEX(Products!D:D,MATCH(C115,Products!A:A,0))</f>
        <v>110</v>
      </c>
      <c r="N115" s="1" t="str">
        <f t="shared" si="4"/>
        <v>Spring</v>
      </c>
      <c r="O115" s="1" t="str">
        <f t="shared" si="5"/>
        <v>20-40</v>
      </c>
      <c r="P115" s="1" t="str">
        <f t="shared" si="6"/>
        <v>No</v>
      </c>
      <c r="Q115" s="17" t="str">
        <f t="shared" si="7"/>
        <v>No Code</v>
      </c>
    </row>
    <row r="116" spans="1:17" x14ac:dyDescent="0.25">
      <c r="A116" s="8">
        <v>5208</v>
      </c>
      <c r="B116" s="8" t="s">
        <v>240</v>
      </c>
      <c r="C116" s="8" t="s">
        <v>192</v>
      </c>
      <c r="D116" s="10">
        <v>45838</v>
      </c>
      <c r="E116" s="8" t="s">
        <v>231</v>
      </c>
      <c r="F116" s="8"/>
      <c r="G116" s="1" t="str">
        <f>INDEX(Customers!B:B,MATCH(B116,Customers!A:A,0))</f>
        <v>Grace Williams</v>
      </c>
      <c r="H116" s="1" t="str">
        <f>INDEX(Customers!E:E,MATCH(B116,Customers!A:A,0))</f>
        <v>Female</v>
      </c>
      <c r="I116" s="1">
        <f>INDEX(Customers!C:C,MATCH(B116,Customers!A:A,0))</f>
        <v>34</v>
      </c>
      <c r="J116" s="1" t="str">
        <f>INDEX(Customers!D:D,MATCH(B116,Customers!A:A,0))</f>
        <v>Unknown</v>
      </c>
      <c r="K116" s="1" t="str">
        <f>INDEX(Products!B:B,MATCH(C116,Products!A:A,0))</f>
        <v>Clothing</v>
      </c>
      <c r="L116" s="1" t="str">
        <f>INDEX(Products!C:C,MATCH(C116,Products!A:A,0))</f>
        <v>Blazer</v>
      </c>
      <c r="M116" s="1">
        <f>INDEX(Products!D:D,MATCH(C116,Products!A:A,0))</f>
        <v>135</v>
      </c>
      <c r="N116" s="1" t="str">
        <f t="shared" si="4"/>
        <v>Summer</v>
      </c>
      <c r="O116" s="1" t="str">
        <f t="shared" si="5"/>
        <v>20-40</v>
      </c>
      <c r="P116" s="1" t="str">
        <f t="shared" si="6"/>
        <v>No</v>
      </c>
      <c r="Q116" s="17" t="str">
        <f t="shared" si="7"/>
        <v>No Code</v>
      </c>
    </row>
    <row r="117" spans="1:17" x14ac:dyDescent="0.25">
      <c r="A117" s="8">
        <v>5037</v>
      </c>
      <c r="B117" s="8" t="s">
        <v>103</v>
      </c>
      <c r="C117" s="8" t="s">
        <v>192</v>
      </c>
      <c r="D117" s="10">
        <v>45942</v>
      </c>
      <c r="E117" s="8" t="s">
        <v>352</v>
      </c>
      <c r="F117" s="8" t="s">
        <v>226</v>
      </c>
      <c r="G117" s="1" t="str">
        <f>INDEX(Customers!B:B,MATCH(B117,Customers!A:A,0))</f>
        <v>Peter Balogun</v>
      </c>
      <c r="H117" s="1" t="str">
        <f>INDEX(Customers!E:E,MATCH(B117,Customers!A:A,0))</f>
        <v>Male</v>
      </c>
      <c r="I117" s="1">
        <f>INDEX(Customers!C:C,MATCH(B117,Customers!A:A,0))</f>
        <v>46</v>
      </c>
      <c r="J117" s="1" t="str">
        <f>INDEX(Customers!D:D,MATCH(B117,Customers!A:A,0))</f>
        <v>Kano</v>
      </c>
      <c r="K117" s="1" t="str">
        <f>INDEX(Products!B:B,MATCH(C117,Products!A:A,0))</f>
        <v>Clothing</v>
      </c>
      <c r="L117" s="1" t="str">
        <f>INDEX(Products!C:C,MATCH(C117,Products!A:A,0))</f>
        <v>Blazer</v>
      </c>
      <c r="M117" s="1">
        <f>INDEX(Products!D:D,MATCH(C117,Products!A:A,0))</f>
        <v>135</v>
      </c>
      <c r="N117" s="1" t="str">
        <f t="shared" si="4"/>
        <v>Fall</v>
      </c>
      <c r="O117" s="1" t="str">
        <f t="shared" si="5"/>
        <v>40-60</v>
      </c>
      <c r="P117" s="1" t="str">
        <f t="shared" si="6"/>
        <v>Yes</v>
      </c>
      <c r="Q117" s="17" t="str">
        <f t="shared" si="7"/>
        <v>Used Code</v>
      </c>
    </row>
    <row r="118" spans="1:17" x14ac:dyDescent="0.25">
      <c r="A118" s="8">
        <v>5140</v>
      </c>
      <c r="B118" s="8" t="s">
        <v>157</v>
      </c>
      <c r="C118" s="8" t="s">
        <v>219</v>
      </c>
      <c r="D118" s="10">
        <v>45989</v>
      </c>
      <c r="E118" s="8" t="s">
        <v>233</v>
      </c>
      <c r="F118" s="8"/>
      <c r="G118" s="1" t="str">
        <f>INDEX(Customers!B:B,MATCH(B118,Customers!A:A,0))</f>
        <v>Ifeoma Aliyu</v>
      </c>
      <c r="H118" s="1" t="str">
        <f>INDEX(Customers!E:E,MATCH(B118,Customers!A:A,0))</f>
        <v>Female</v>
      </c>
      <c r="I118" s="1">
        <f>INDEX(Customers!C:C,MATCH(B118,Customers!A:A,0))</f>
        <v>30</v>
      </c>
      <c r="J118" s="1" t="str">
        <f>INDEX(Customers!D:D,MATCH(B118,Customers!A:A,0))</f>
        <v>Calabar</v>
      </c>
      <c r="K118" s="1" t="str">
        <f>INDEX(Products!B:B,MATCH(C118,Products!A:A,0))</f>
        <v>Accessories</v>
      </c>
      <c r="L118" s="1" t="str">
        <f>INDEX(Products!C:C,MATCH(C118,Products!A:A,0))</f>
        <v>Waist Belt</v>
      </c>
      <c r="M118" s="1">
        <f>INDEX(Products!D:D,MATCH(C118,Products!A:A,0))</f>
        <v>33</v>
      </c>
      <c r="N118" s="1" t="str">
        <f t="shared" si="4"/>
        <v>Fall</v>
      </c>
      <c r="O118" s="1" t="str">
        <f t="shared" si="5"/>
        <v>20-40</v>
      </c>
      <c r="P118" s="1" t="str">
        <f t="shared" si="6"/>
        <v>No</v>
      </c>
      <c r="Q118" s="17" t="str">
        <f t="shared" si="7"/>
        <v>No Code</v>
      </c>
    </row>
    <row r="119" spans="1:17" x14ac:dyDescent="0.25">
      <c r="A119" s="8">
        <v>5109</v>
      </c>
      <c r="B119" s="8" t="s">
        <v>50</v>
      </c>
      <c r="C119" s="8" t="s">
        <v>217</v>
      </c>
      <c r="D119" s="10">
        <v>45925</v>
      </c>
      <c r="E119" s="8" t="s">
        <v>353</v>
      </c>
      <c r="F119" s="8"/>
      <c r="G119" s="1" t="str">
        <f>INDEX(Customers!B:B,MATCH(B119,Customers!A:A,0))</f>
        <v>Mark Balogun</v>
      </c>
      <c r="H119" s="1" t="str">
        <f>INDEX(Customers!E:E,MATCH(B119,Customers!A:A,0))</f>
        <v>Male</v>
      </c>
      <c r="I119" s="1">
        <f>INDEX(Customers!C:C,MATCH(B119,Customers!A:A,0))</f>
        <v>19</v>
      </c>
      <c r="J119" s="1" t="str">
        <f>INDEX(Customers!D:D,MATCH(B119,Customers!A:A,0))</f>
        <v>Lagos</v>
      </c>
      <c r="K119" s="1" t="str">
        <f>INDEX(Products!B:B,MATCH(C119,Products!A:A,0))</f>
        <v>Accessories</v>
      </c>
      <c r="L119" s="1" t="str">
        <f>INDEX(Products!C:C,MATCH(C119,Products!A:A,0))</f>
        <v>Earrings</v>
      </c>
      <c r="M119" s="1">
        <f>INDEX(Products!D:D,MATCH(C119,Products!A:A,0))</f>
        <v>19</v>
      </c>
      <c r="N119" s="1" t="str">
        <f t="shared" si="4"/>
        <v>Fall</v>
      </c>
      <c r="O119" s="1" t="str">
        <f t="shared" si="5"/>
        <v>&lt;20</v>
      </c>
      <c r="P119" s="1" t="str">
        <f t="shared" si="6"/>
        <v>Yes</v>
      </c>
      <c r="Q119" s="17" t="str">
        <f t="shared" si="7"/>
        <v>No Code</v>
      </c>
    </row>
    <row r="120" spans="1:17" x14ac:dyDescent="0.25">
      <c r="A120" s="8">
        <v>5028</v>
      </c>
      <c r="B120" s="8" t="s">
        <v>83</v>
      </c>
      <c r="C120" s="8" t="s">
        <v>179</v>
      </c>
      <c r="D120" s="10">
        <v>45886</v>
      </c>
      <c r="E120" s="8" t="s">
        <v>352</v>
      </c>
      <c r="F120" s="8"/>
      <c r="G120" s="1" t="str">
        <f>INDEX(Customers!B:B,MATCH(B120,Customers!A:A,0))</f>
        <v>Linda Smith</v>
      </c>
      <c r="H120" s="1" t="str">
        <f>INDEX(Customers!E:E,MATCH(B120,Customers!A:A,0))</f>
        <v>Female</v>
      </c>
      <c r="I120" s="1">
        <f>INDEX(Customers!C:C,MATCH(B120,Customers!A:A,0))</f>
        <v>57</v>
      </c>
      <c r="J120" s="1" t="str">
        <f>INDEX(Customers!D:D,MATCH(B120,Customers!A:A,0))</f>
        <v>Ibadan</v>
      </c>
      <c r="K120" s="1" t="str">
        <f>INDEX(Products!B:B,MATCH(C120,Products!A:A,0))</f>
        <v>Clothing</v>
      </c>
      <c r="L120" s="1" t="str">
        <f>INDEX(Products!C:C,MATCH(C120,Products!A:A,0))</f>
        <v>Ankara Dress</v>
      </c>
      <c r="M120" s="1">
        <f>INDEX(Products!D:D,MATCH(C120,Products!A:A,0))</f>
        <v>68</v>
      </c>
      <c r="N120" s="1" t="str">
        <f t="shared" si="4"/>
        <v>Summer</v>
      </c>
      <c r="O120" s="1" t="str">
        <f t="shared" si="5"/>
        <v>40-60</v>
      </c>
      <c r="P120" s="1" t="str">
        <f t="shared" si="6"/>
        <v>Yes</v>
      </c>
      <c r="Q120" s="17" t="str">
        <f t="shared" si="7"/>
        <v>No Code</v>
      </c>
    </row>
    <row r="121" spans="1:17" x14ac:dyDescent="0.25">
      <c r="A121" s="8">
        <v>5242</v>
      </c>
      <c r="B121" s="8" t="s">
        <v>135</v>
      </c>
      <c r="C121" s="8" t="s">
        <v>213</v>
      </c>
      <c r="D121" s="10">
        <v>46150</v>
      </c>
      <c r="E121" s="8" t="s">
        <v>353</v>
      </c>
      <c r="F121" s="8"/>
      <c r="G121" s="1" t="str">
        <f>INDEX(Customers!B:B,MATCH(B121,Customers!A:A,0))</f>
        <v>Chioma Wilson</v>
      </c>
      <c r="H121" s="1" t="str">
        <f>INDEX(Customers!E:E,MATCH(B121,Customers!A:A,0))</f>
        <v>Female</v>
      </c>
      <c r="I121" s="1">
        <f>INDEX(Customers!C:C,MATCH(B121,Customers!A:A,0))</f>
        <v>23</v>
      </c>
      <c r="J121" s="1" t="str">
        <f>INDEX(Customers!D:D,MATCH(B121,Customers!A:A,0))</f>
        <v>Kaduna</v>
      </c>
      <c r="K121" s="1" t="str">
        <f>INDEX(Products!B:B,MATCH(C121,Products!A:A,0))</f>
        <v>Accessories</v>
      </c>
      <c r="L121" s="1" t="str">
        <f>INDEX(Products!C:C,MATCH(C121,Products!A:A,0))</f>
        <v>Ankle Boots</v>
      </c>
      <c r="M121" s="1">
        <f>INDEX(Products!D:D,MATCH(C121,Products!A:A,0))</f>
        <v>110</v>
      </c>
      <c r="N121" s="1" t="str">
        <f t="shared" si="4"/>
        <v>Spring</v>
      </c>
      <c r="O121" s="1" t="str">
        <f t="shared" si="5"/>
        <v>20-40</v>
      </c>
      <c r="P121" s="1" t="str">
        <f t="shared" si="6"/>
        <v>Yes</v>
      </c>
      <c r="Q121" s="17" t="str">
        <f t="shared" si="7"/>
        <v>No Code</v>
      </c>
    </row>
    <row r="122" spans="1:17" x14ac:dyDescent="0.25">
      <c r="A122" s="8">
        <v>5144</v>
      </c>
      <c r="B122" s="8" t="s">
        <v>76</v>
      </c>
      <c r="C122" s="8" t="s">
        <v>211</v>
      </c>
      <c r="D122" s="10">
        <v>45825</v>
      </c>
      <c r="E122" s="8" t="s">
        <v>233</v>
      </c>
      <c r="F122" s="8" t="s">
        <v>226</v>
      </c>
      <c r="G122" s="1" t="str">
        <f>INDEX(Customers!B:B,MATCH(B122,Customers!A:A,0))</f>
        <v>Tunde Smith</v>
      </c>
      <c r="H122" s="1" t="str">
        <f>INDEX(Customers!E:E,MATCH(B122,Customers!A:A,0))</f>
        <v>Male</v>
      </c>
      <c r="I122" s="1">
        <f>INDEX(Customers!C:C,MATCH(B122,Customers!A:A,0))</f>
        <v>40</v>
      </c>
      <c r="J122" s="1" t="str">
        <f>INDEX(Customers!D:D,MATCH(B122,Customers!A:A,0))</f>
        <v>Unknown</v>
      </c>
      <c r="K122" s="1" t="str">
        <f>INDEX(Products!B:B,MATCH(C122,Products!A:A,0))</f>
        <v>Accessories</v>
      </c>
      <c r="L122" s="1" t="str">
        <f>INDEX(Products!C:C,MATCH(C122,Products!A:A,0))</f>
        <v>Bangle Set</v>
      </c>
      <c r="M122" s="1">
        <f>INDEX(Products!D:D,MATCH(C122,Products!A:A,0))</f>
        <v>22</v>
      </c>
      <c r="N122" s="1" t="str">
        <f t="shared" si="4"/>
        <v>Summer</v>
      </c>
      <c r="O122" s="1" t="str">
        <f t="shared" si="5"/>
        <v>40-60</v>
      </c>
      <c r="P122" s="1" t="str">
        <f t="shared" si="6"/>
        <v>Yes</v>
      </c>
      <c r="Q122" s="17" t="str">
        <f t="shared" si="7"/>
        <v>Used Code</v>
      </c>
    </row>
    <row r="123" spans="1:17" x14ac:dyDescent="0.25">
      <c r="A123" s="8">
        <v>5153</v>
      </c>
      <c r="B123" s="8" t="s">
        <v>110</v>
      </c>
      <c r="C123" s="8" t="s">
        <v>215</v>
      </c>
      <c r="D123" s="10">
        <v>46146</v>
      </c>
      <c r="E123" s="8" t="s">
        <v>352</v>
      </c>
      <c r="F123" s="8"/>
      <c r="G123" s="1" t="str">
        <f>INDEX(Customers!B:B,MATCH(B123,Customers!A:A,0))</f>
        <v>Michael Martin</v>
      </c>
      <c r="H123" s="1" t="str">
        <f>INDEX(Customers!E:E,MATCH(B123,Customers!A:A,0))</f>
        <v>Male</v>
      </c>
      <c r="I123" s="1">
        <f>INDEX(Customers!C:C,MATCH(B123,Customers!A:A,0))</f>
        <v>53</v>
      </c>
      <c r="J123" s="1" t="str">
        <f>INDEX(Customers!D:D,MATCH(B123,Customers!A:A,0))</f>
        <v>Unknown</v>
      </c>
      <c r="K123" s="1" t="str">
        <f>INDEX(Products!B:B,MATCH(C123,Products!A:A,0))</f>
        <v>Accessories</v>
      </c>
      <c r="L123" s="1" t="str">
        <f>INDEX(Products!C:C,MATCH(C123,Products!A:A,0))</f>
        <v>Clutch Purse</v>
      </c>
      <c r="M123" s="1">
        <f>INDEX(Products!D:D,MATCH(C123,Products!A:A,0))</f>
        <v>48</v>
      </c>
      <c r="N123" s="1" t="str">
        <f t="shared" si="4"/>
        <v>Spring</v>
      </c>
      <c r="O123" s="1" t="str">
        <f t="shared" si="5"/>
        <v>40-60</v>
      </c>
      <c r="P123" s="1" t="str">
        <f t="shared" si="6"/>
        <v>Yes</v>
      </c>
      <c r="Q123" s="17" t="str">
        <f t="shared" si="7"/>
        <v>No Code</v>
      </c>
    </row>
    <row r="124" spans="1:17" x14ac:dyDescent="0.25">
      <c r="A124" s="8">
        <v>5158</v>
      </c>
      <c r="B124" s="8" t="s">
        <v>169</v>
      </c>
      <c r="C124" s="8" t="s">
        <v>179</v>
      </c>
      <c r="D124" s="10">
        <v>45905</v>
      </c>
      <c r="E124" s="8" t="s">
        <v>352</v>
      </c>
      <c r="F124" s="8"/>
      <c r="G124" s="1" t="str">
        <f>INDEX(Customers!B:B,MATCH(B124,Customers!A:A,0))</f>
        <v>Nancy Moore</v>
      </c>
      <c r="H124" s="1" t="str">
        <f>INDEX(Customers!E:E,MATCH(B124,Customers!A:A,0))</f>
        <v>Female</v>
      </c>
      <c r="I124" s="1">
        <f>INDEX(Customers!C:C,MATCH(B124,Customers!A:A,0))</f>
        <v>53</v>
      </c>
      <c r="J124" s="1" t="str">
        <f>INDEX(Customers!D:D,MATCH(B124,Customers!A:A,0))</f>
        <v>Lagos</v>
      </c>
      <c r="K124" s="1" t="str">
        <f>INDEX(Products!B:B,MATCH(C124,Products!A:A,0))</f>
        <v>Clothing</v>
      </c>
      <c r="L124" s="1" t="str">
        <f>INDEX(Products!C:C,MATCH(C124,Products!A:A,0))</f>
        <v>Ankara Dress</v>
      </c>
      <c r="M124" s="1">
        <f>INDEX(Products!D:D,MATCH(C124,Products!A:A,0))</f>
        <v>68</v>
      </c>
      <c r="N124" s="1" t="str">
        <f t="shared" si="4"/>
        <v>Fall</v>
      </c>
      <c r="O124" s="1" t="str">
        <f t="shared" si="5"/>
        <v>40-60</v>
      </c>
      <c r="P124" s="1" t="str">
        <f t="shared" si="6"/>
        <v>Yes</v>
      </c>
      <c r="Q124" s="17" t="str">
        <f t="shared" si="7"/>
        <v>No Code</v>
      </c>
    </row>
    <row r="125" spans="1:17" x14ac:dyDescent="0.25">
      <c r="A125" s="8">
        <v>5257</v>
      </c>
      <c r="B125" s="8" t="s">
        <v>156</v>
      </c>
      <c r="C125" s="8" t="s">
        <v>198</v>
      </c>
      <c r="D125" s="10">
        <v>45877</v>
      </c>
      <c r="E125" s="8" t="s">
        <v>231</v>
      </c>
      <c r="F125" s="8"/>
      <c r="G125" s="1" t="str">
        <f>INDEX(Customers!B:B,MATCH(B125,Customers!A:A,0))</f>
        <v>Daniel Thomas</v>
      </c>
      <c r="H125" s="1" t="str">
        <f>INDEX(Customers!E:E,MATCH(B125,Customers!A:A,0))</f>
        <v>Male</v>
      </c>
      <c r="I125" s="1">
        <f>INDEX(Customers!C:C,MATCH(B125,Customers!A:A,0))</f>
        <v>32</v>
      </c>
      <c r="J125" s="1" t="str">
        <f>INDEX(Customers!D:D,MATCH(B125,Customers!A:A,0))</f>
        <v>Abuja</v>
      </c>
      <c r="K125" s="1" t="str">
        <f>INDEX(Products!B:B,MATCH(C125,Products!A:A,0))</f>
        <v>Clothing</v>
      </c>
      <c r="L125" s="1" t="str">
        <f>INDEX(Products!C:C,MATCH(C125,Products!A:A,0))</f>
        <v>Knit Sweater</v>
      </c>
      <c r="M125" s="1">
        <f>INDEX(Products!D:D,MATCH(C125,Products!A:A,0))</f>
        <v>58</v>
      </c>
      <c r="N125" s="1" t="str">
        <f t="shared" si="4"/>
        <v>Summer</v>
      </c>
      <c r="O125" s="1" t="str">
        <f t="shared" si="5"/>
        <v>20-40</v>
      </c>
      <c r="P125" s="1" t="str">
        <f t="shared" si="6"/>
        <v>Yes</v>
      </c>
      <c r="Q125" s="17" t="str">
        <f t="shared" si="7"/>
        <v>No Code</v>
      </c>
    </row>
    <row r="126" spans="1:17" x14ac:dyDescent="0.25">
      <c r="A126" s="8">
        <v>5077</v>
      </c>
      <c r="B126" s="8" t="s">
        <v>71</v>
      </c>
      <c r="C126" s="8" t="s">
        <v>186</v>
      </c>
      <c r="D126" s="10">
        <v>45722</v>
      </c>
      <c r="E126" s="8" t="s">
        <v>353</v>
      </c>
      <c r="F126" s="8"/>
      <c r="G126" s="1" t="str">
        <f>INDEX(Customers!B:B,MATCH(B126,Customers!A:A,0))</f>
        <v>Zainab Martin</v>
      </c>
      <c r="H126" s="1" t="str">
        <f>INDEX(Customers!E:E,MATCH(B126,Customers!A:A,0))</f>
        <v>Female</v>
      </c>
      <c r="I126" s="1">
        <f>INDEX(Customers!C:C,MATCH(B126,Customers!A:A,0))</f>
        <v>39</v>
      </c>
      <c r="J126" s="1" t="str">
        <f>INDEX(Customers!D:D,MATCH(B126,Customers!A:A,0))</f>
        <v>Benin City</v>
      </c>
      <c r="K126" s="1" t="str">
        <f>INDEX(Products!B:B,MATCH(C126,Products!A:A,0))</f>
        <v>Clothing</v>
      </c>
      <c r="L126" s="1" t="str">
        <f>INDEX(Products!C:C,MATCH(C126,Products!A:A,0))</f>
        <v>Maxi Gown</v>
      </c>
      <c r="M126" s="1">
        <f>INDEX(Products!D:D,MATCH(C126,Products!A:A,0))</f>
        <v>120</v>
      </c>
      <c r="N126" s="1" t="str">
        <f t="shared" si="4"/>
        <v>Spring</v>
      </c>
      <c r="O126" s="1" t="str">
        <f t="shared" si="5"/>
        <v>20-40</v>
      </c>
      <c r="P126" s="1" t="str">
        <f t="shared" si="6"/>
        <v>No</v>
      </c>
      <c r="Q126" s="17" t="str">
        <f t="shared" si="7"/>
        <v>No Code</v>
      </c>
    </row>
    <row r="127" spans="1:17" x14ac:dyDescent="0.25">
      <c r="A127" s="8">
        <v>5005</v>
      </c>
      <c r="B127" s="8" t="s">
        <v>114</v>
      </c>
      <c r="C127" s="8" t="s">
        <v>203</v>
      </c>
      <c r="D127" s="10">
        <v>45887</v>
      </c>
      <c r="E127" s="8" t="s">
        <v>231</v>
      </c>
      <c r="F127" s="8"/>
      <c r="G127" s="1" t="str">
        <f>INDEX(Customers!B:B,MATCH(B127,Customers!A:A,0))</f>
        <v>Tunde Wilson</v>
      </c>
      <c r="H127" s="1" t="str">
        <f>INDEX(Customers!E:E,MATCH(B127,Customers!A:A,0))</f>
        <v>Male</v>
      </c>
      <c r="I127" s="1">
        <f>INDEX(Customers!C:C,MATCH(B127,Customers!A:A,0))</f>
        <v>59</v>
      </c>
      <c r="J127" s="1" t="str">
        <f>INDEX(Customers!D:D,MATCH(B127,Customers!A:A,0))</f>
        <v>Lagos</v>
      </c>
      <c r="K127" s="1" t="str">
        <f>INDEX(Products!B:B,MATCH(C127,Products!A:A,0))</f>
        <v>Accessories</v>
      </c>
      <c r="L127" s="1" t="str">
        <f>INDEX(Products!C:C,MATCH(C127,Products!A:A,0))</f>
        <v>Leather Handbag</v>
      </c>
      <c r="M127" s="1">
        <f>INDEX(Products!D:D,MATCH(C127,Products!A:A,0))</f>
        <v>145</v>
      </c>
      <c r="N127" s="1" t="str">
        <f t="shared" si="4"/>
        <v>Summer</v>
      </c>
      <c r="O127" s="1" t="str">
        <f t="shared" si="5"/>
        <v>40-60</v>
      </c>
      <c r="P127" s="1" t="str">
        <f t="shared" si="6"/>
        <v>Yes</v>
      </c>
      <c r="Q127" s="17" t="str">
        <f t="shared" si="7"/>
        <v>No Code</v>
      </c>
    </row>
    <row r="128" spans="1:17" x14ac:dyDescent="0.25">
      <c r="A128" s="8">
        <v>5059</v>
      </c>
      <c r="B128" s="8" t="s">
        <v>148</v>
      </c>
      <c r="C128" s="8" t="s">
        <v>179</v>
      </c>
      <c r="D128" s="10">
        <v>45933</v>
      </c>
      <c r="E128" s="8" t="s">
        <v>233</v>
      </c>
      <c r="F128" s="8"/>
      <c r="G128" s="1" t="str">
        <f>INDEX(Customers!B:B,MATCH(B128,Customers!A:A,0))</f>
        <v>Tunde Balogun</v>
      </c>
      <c r="H128" s="1" t="str">
        <f>INDEX(Customers!E:E,MATCH(B128,Customers!A:A,0))</f>
        <v>Male</v>
      </c>
      <c r="I128" s="1">
        <f>INDEX(Customers!C:C,MATCH(B128,Customers!A:A,0))</f>
        <v>33</v>
      </c>
      <c r="J128" s="1" t="str">
        <f>INDEX(Customers!D:D,MATCH(B128,Customers!A:A,0))</f>
        <v>Benin City</v>
      </c>
      <c r="K128" s="1" t="str">
        <f>INDEX(Products!B:B,MATCH(C128,Products!A:A,0))</f>
        <v>Clothing</v>
      </c>
      <c r="L128" s="1" t="str">
        <f>INDEX(Products!C:C,MATCH(C128,Products!A:A,0))</f>
        <v>Ankara Dress</v>
      </c>
      <c r="M128" s="1">
        <f>INDEX(Products!D:D,MATCH(C128,Products!A:A,0))</f>
        <v>68</v>
      </c>
      <c r="N128" s="1" t="str">
        <f t="shared" si="4"/>
        <v>Fall</v>
      </c>
      <c r="O128" s="1" t="str">
        <f t="shared" si="5"/>
        <v>20-40</v>
      </c>
      <c r="P128" s="1" t="str">
        <f t="shared" si="6"/>
        <v>Yes</v>
      </c>
      <c r="Q128" s="17" t="str">
        <f t="shared" si="7"/>
        <v>No Code</v>
      </c>
    </row>
    <row r="129" spans="1:17" x14ac:dyDescent="0.25">
      <c r="A129" s="8">
        <v>5147</v>
      </c>
      <c r="B129" s="8" t="s">
        <v>67</v>
      </c>
      <c r="C129" s="8" t="s">
        <v>209</v>
      </c>
      <c r="D129" s="10">
        <v>46120</v>
      </c>
      <c r="E129" s="8" t="s">
        <v>233</v>
      </c>
      <c r="F129" s="8"/>
      <c r="G129" s="1" t="str">
        <f>INDEX(Customers!B:B,MATCH(B129,Customers!A:A,0))</f>
        <v>Karen Adeyemi</v>
      </c>
      <c r="H129" s="1" t="str">
        <f>INDEX(Customers!E:E,MATCH(B129,Customers!A:A,0))</f>
        <v>Female</v>
      </c>
      <c r="I129" s="1">
        <f>INDEX(Customers!C:C,MATCH(B129,Customers!A:A,0))</f>
        <v>51</v>
      </c>
      <c r="J129" s="1" t="str">
        <f>INDEX(Customers!D:D,MATCH(B129,Customers!A:A,0))</f>
        <v>Owerri</v>
      </c>
      <c r="K129" s="1" t="str">
        <f>INDEX(Products!B:B,MATCH(C129,Products!A:A,0))</f>
        <v>Accessories</v>
      </c>
      <c r="L129" s="1" t="str">
        <f>INDEX(Products!C:C,MATCH(C129,Products!A:A,0))</f>
        <v>Tote Bag</v>
      </c>
      <c r="M129" s="1">
        <f>INDEX(Products!D:D,MATCH(C129,Products!A:A,0))</f>
        <v>62</v>
      </c>
      <c r="N129" s="1" t="str">
        <f t="shared" si="4"/>
        <v>Spring</v>
      </c>
      <c r="O129" s="1" t="str">
        <f t="shared" si="5"/>
        <v>40-60</v>
      </c>
      <c r="P129" s="1" t="str">
        <f t="shared" si="6"/>
        <v>No</v>
      </c>
      <c r="Q129" s="17" t="str">
        <f t="shared" si="7"/>
        <v>No Code</v>
      </c>
    </row>
    <row r="130" spans="1:17" x14ac:dyDescent="0.25">
      <c r="A130" s="8">
        <v>5232</v>
      </c>
      <c r="B130" s="8" t="s">
        <v>30</v>
      </c>
      <c r="C130" s="8" t="s">
        <v>211</v>
      </c>
      <c r="D130" s="10">
        <v>46153</v>
      </c>
      <c r="E130" s="8" t="s">
        <v>353</v>
      </c>
      <c r="F130" s="8" t="s">
        <v>225</v>
      </c>
      <c r="G130" s="1" t="str">
        <f>INDEX(Customers!B:B,MATCH(B130,Customers!A:A,0))</f>
        <v>Yusuf Garba</v>
      </c>
      <c r="H130" s="1" t="str">
        <f>INDEX(Customers!E:E,MATCH(B130,Customers!A:A,0))</f>
        <v>Male</v>
      </c>
      <c r="I130" s="1">
        <f>INDEX(Customers!C:C,MATCH(B130,Customers!A:A,0))</f>
        <v>36</v>
      </c>
      <c r="J130" s="1" t="str">
        <f>INDEX(Customers!D:D,MATCH(B130,Customers!A:A,0))</f>
        <v>Uyo</v>
      </c>
      <c r="K130" s="1" t="str">
        <f>INDEX(Products!B:B,MATCH(C130,Products!A:A,0))</f>
        <v>Accessories</v>
      </c>
      <c r="L130" s="1" t="str">
        <f>INDEX(Products!C:C,MATCH(C130,Products!A:A,0))</f>
        <v>Bangle Set</v>
      </c>
      <c r="M130" s="1">
        <f>INDEX(Products!D:D,MATCH(C130,Products!A:A,0))</f>
        <v>22</v>
      </c>
      <c r="N130" s="1" t="str">
        <f t="shared" ref="N130:N193" si="8">CHOOSE(MONTH(D130),"Winter","Winter","Spring","Spring","Spring","Summer","Summer","Summer","Fall","Fall","Fall","Winter")</f>
        <v>Spring</v>
      </c>
      <c r="O130" s="1" t="str">
        <f t="shared" ref="O130:O193" si="9">IF(I130&lt;20,"&lt;20",IF(I130&lt;40,"20-40",IF(I130&lt;60,"40-60","60+")))</f>
        <v>20-40</v>
      </c>
      <c r="P130" s="1" t="str">
        <f t="shared" ref="P130:P193" si="10">IF(COUNTIF(B:B,B130)&gt;1,"Yes","No")</f>
        <v>Yes</v>
      </c>
      <c r="Q130" s="17" t="str">
        <f t="shared" ref="Q130:Q193" si="11">IF(F130="","No Code","Used Code")</f>
        <v>Used Code</v>
      </c>
    </row>
    <row r="131" spans="1:17" x14ac:dyDescent="0.25">
      <c r="A131" s="8">
        <v>5011</v>
      </c>
      <c r="B131" s="8" t="s">
        <v>230</v>
      </c>
      <c r="C131" s="8" t="s">
        <v>200</v>
      </c>
      <c r="D131" s="10">
        <v>45857</v>
      </c>
      <c r="E131" s="8" t="s">
        <v>352</v>
      </c>
      <c r="F131" s="8"/>
      <c r="G131" s="1" t="str">
        <f>INDEX(Customers!B:B,MATCH(B131,Customers!A:A,0))</f>
        <v>Steven Johnson</v>
      </c>
      <c r="H131" s="1" t="str">
        <f>INDEX(Customers!E:E,MATCH(B131,Customers!A:A,0))</f>
        <v>Male</v>
      </c>
      <c r="I131" s="1">
        <f>INDEX(Customers!C:C,MATCH(B131,Customers!A:A,0))</f>
        <v>33</v>
      </c>
      <c r="J131" s="1" t="str">
        <f>INDEX(Customers!D:D,MATCH(B131,Customers!A:A,0))</f>
        <v>Abuja</v>
      </c>
      <c r="K131" s="1" t="str">
        <f>INDEX(Products!B:B,MATCH(C131,Products!A:A,0))</f>
        <v>Accessories</v>
      </c>
      <c r="L131" s="1" t="str">
        <f>INDEX(Products!C:C,MATCH(C131,Products!A:A,0))</f>
        <v>Beaded Necklace</v>
      </c>
      <c r="M131" s="1">
        <f>INDEX(Products!D:D,MATCH(C131,Products!A:A,0))</f>
        <v>25</v>
      </c>
      <c r="N131" s="1" t="str">
        <f t="shared" si="8"/>
        <v>Summer</v>
      </c>
      <c r="O131" s="1" t="str">
        <f t="shared" si="9"/>
        <v>20-40</v>
      </c>
      <c r="P131" s="1" t="str">
        <f t="shared" si="10"/>
        <v>Yes</v>
      </c>
      <c r="Q131" s="17" t="str">
        <f t="shared" si="11"/>
        <v>No Code</v>
      </c>
    </row>
    <row r="132" spans="1:17" x14ac:dyDescent="0.25">
      <c r="A132" s="8">
        <v>5083</v>
      </c>
      <c r="B132" s="8" t="s">
        <v>121</v>
      </c>
      <c r="C132" s="8" t="s">
        <v>203</v>
      </c>
      <c r="D132" s="10">
        <v>45829</v>
      </c>
      <c r="E132" s="8" t="s">
        <v>352</v>
      </c>
      <c r="F132" s="8"/>
      <c r="G132" s="1" t="str">
        <f>INDEX(Customers!B:B,MATCH(B132,Customers!A:A,0))</f>
        <v>Kelechi Bello</v>
      </c>
      <c r="H132" s="1" t="str">
        <f>INDEX(Customers!E:E,MATCH(B132,Customers!A:A,0))</f>
        <v>Male</v>
      </c>
      <c r="I132" s="1">
        <f>INDEX(Customers!C:C,MATCH(B132,Customers!A:A,0))</f>
        <v>39</v>
      </c>
      <c r="J132" s="1" t="str">
        <f>INDEX(Customers!D:D,MATCH(B132,Customers!A:A,0))</f>
        <v>Uyo</v>
      </c>
      <c r="K132" s="1" t="str">
        <f>INDEX(Products!B:B,MATCH(C132,Products!A:A,0))</f>
        <v>Accessories</v>
      </c>
      <c r="L132" s="1" t="str">
        <f>INDEX(Products!C:C,MATCH(C132,Products!A:A,0))</f>
        <v>Leather Handbag</v>
      </c>
      <c r="M132" s="1">
        <f>INDEX(Products!D:D,MATCH(C132,Products!A:A,0))</f>
        <v>145</v>
      </c>
      <c r="N132" s="1" t="str">
        <f t="shared" si="8"/>
        <v>Summer</v>
      </c>
      <c r="O132" s="1" t="str">
        <f t="shared" si="9"/>
        <v>20-40</v>
      </c>
      <c r="P132" s="1" t="str">
        <f t="shared" si="10"/>
        <v>No</v>
      </c>
      <c r="Q132" s="17" t="str">
        <f t="shared" si="11"/>
        <v>No Code</v>
      </c>
    </row>
    <row r="133" spans="1:17" x14ac:dyDescent="0.25">
      <c r="A133" s="8">
        <v>5100</v>
      </c>
      <c r="B133" s="8" t="s">
        <v>171</v>
      </c>
      <c r="C133" s="8" t="s">
        <v>194</v>
      </c>
      <c r="D133" s="10">
        <v>45890</v>
      </c>
      <c r="E133" s="8" t="s">
        <v>352</v>
      </c>
      <c r="F133" s="8" t="s">
        <v>226</v>
      </c>
      <c r="G133" s="1" t="str">
        <f>INDEX(Customers!B:B,MATCH(B133,Customers!A:A,0))</f>
        <v>Nkechi White</v>
      </c>
      <c r="H133" s="1" t="str">
        <f>INDEX(Customers!E:E,MATCH(B133,Customers!A:A,0))</f>
        <v>Female</v>
      </c>
      <c r="I133" s="1">
        <f>INDEX(Customers!C:C,MATCH(B133,Customers!A:A,0))</f>
        <v>32</v>
      </c>
      <c r="J133" s="1" t="str">
        <f>INDEX(Customers!D:D,MATCH(B133,Customers!A:A,0))</f>
        <v>Owerri</v>
      </c>
      <c r="K133" s="1" t="str">
        <f>INDEX(Products!B:B,MATCH(C133,Products!A:A,0))</f>
        <v>Clothing</v>
      </c>
      <c r="L133" s="1" t="str">
        <f>INDEX(Products!C:C,MATCH(C133,Products!A:A,0))</f>
        <v>Jumpsuit</v>
      </c>
      <c r="M133" s="1">
        <f>INDEX(Products!D:D,MATCH(C133,Products!A:A,0))</f>
        <v>76</v>
      </c>
      <c r="N133" s="1" t="str">
        <f t="shared" si="8"/>
        <v>Summer</v>
      </c>
      <c r="O133" s="1" t="str">
        <f t="shared" si="9"/>
        <v>20-40</v>
      </c>
      <c r="P133" s="1" t="str">
        <f t="shared" si="10"/>
        <v>Yes</v>
      </c>
      <c r="Q133" s="17" t="str">
        <f t="shared" si="11"/>
        <v>Used Code</v>
      </c>
    </row>
    <row r="134" spans="1:17" x14ac:dyDescent="0.25">
      <c r="A134" s="8">
        <v>5283</v>
      </c>
      <c r="B134" s="8" t="s">
        <v>160</v>
      </c>
      <c r="C134" s="8" t="s">
        <v>209</v>
      </c>
      <c r="D134" s="10">
        <v>45818</v>
      </c>
      <c r="E134" s="8" t="s">
        <v>353</v>
      </c>
      <c r="F134" s="8"/>
      <c r="G134" s="1" t="str">
        <f>INDEX(Customers!B:B,MATCH(B134,Customers!A:A,0))</f>
        <v>Adaeze Eze</v>
      </c>
      <c r="H134" s="1" t="str">
        <f>INDEX(Customers!E:E,MATCH(B134,Customers!A:A,0))</f>
        <v>Female</v>
      </c>
      <c r="I134" s="1">
        <f>INDEX(Customers!C:C,MATCH(B134,Customers!A:A,0))</f>
        <v>18</v>
      </c>
      <c r="J134" s="1" t="str">
        <f>INDEX(Customers!D:D,MATCH(B134,Customers!A:A,0))</f>
        <v>Kaduna</v>
      </c>
      <c r="K134" s="1" t="str">
        <f>INDEX(Products!B:B,MATCH(C134,Products!A:A,0))</f>
        <v>Accessories</v>
      </c>
      <c r="L134" s="1" t="str">
        <f>INDEX(Products!C:C,MATCH(C134,Products!A:A,0))</f>
        <v>Tote Bag</v>
      </c>
      <c r="M134" s="1">
        <f>INDEX(Products!D:D,MATCH(C134,Products!A:A,0))</f>
        <v>62</v>
      </c>
      <c r="N134" s="1" t="str">
        <f t="shared" si="8"/>
        <v>Summer</v>
      </c>
      <c r="O134" s="1" t="str">
        <f t="shared" si="9"/>
        <v>&lt;20</v>
      </c>
      <c r="P134" s="1" t="str">
        <f t="shared" si="10"/>
        <v>Yes</v>
      </c>
      <c r="Q134" s="17" t="str">
        <f t="shared" si="11"/>
        <v>No Code</v>
      </c>
    </row>
    <row r="135" spans="1:17" x14ac:dyDescent="0.25">
      <c r="A135" s="8">
        <v>5073</v>
      </c>
      <c r="B135" s="8" t="s">
        <v>100</v>
      </c>
      <c r="C135" s="8" t="s">
        <v>194</v>
      </c>
      <c r="D135" s="10">
        <v>45974</v>
      </c>
      <c r="E135" s="8" t="s">
        <v>352</v>
      </c>
      <c r="F135" s="8" t="s">
        <v>224</v>
      </c>
      <c r="G135" s="1" t="str">
        <f>INDEX(Customers!B:B,MATCH(B135,Customers!A:A,0))</f>
        <v>Tunde Jackson</v>
      </c>
      <c r="H135" s="1" t="str">
        <f>INDEX(Customers!E:E,MATCH(B135,Customers!A:A,0))</f>
        <v>Male</v>
      </c>
      <c r="I135" s="1">
        <f>INDEX(Customers!C:C,MATCH(B135,Customers!A:A,0))</f>
        <v>50</v>
      </c>
      <c r="J135" s="1" t="str">
        <f>INDEX(Customers!D:D,MATCH(B135,Customers!A:A,0))</f>
        <v>Uyo</v>
      </c>
      <c r="K135" s="1" t="str">
        <f>INDEX(Products!B:B,MATCH(C135,Products!A:A,0))</f>
        <v>Clothing</v>
      </c>
      <c r="L135" s="1" t="str">
        <f>INDEX(Products!C:C,MATCH(C135,Products!A:A,0))</f>
        <v>Jumpsuit</v>
      </c>
      <c r="M135" s="1">
        <f>INDEX(Products!D:D,MATCH(C135,Products!A:A,0))</f>
        <v>76</v>
      </c>
      <c r="N135" s="1" t="str">
        <f t="shared" si="8"/>
        <v>Fall</v>
      </c>
      <c r="O135" s="1" t="str">
        <f t="shared" si="9"/>
        <v>40-60</v>
      </c>
      <c r="P135" s="1" t="str">
        <f t="shared" si="10"/>
        <v>Yes</v>
      </c>
      <c r="Q135" s="17" t="str">
        <f t="shared" si="11"/>
        <v>Used Code</v>
      </c>
    </row>
    <row r="136" spans="1:17" x14ac:dyDescent="0.25">
      <c r="A136" s="8">
        <v>5036</v>
      </c>
      <c r="B136" s="8" t="s">
        <v>39</v>
      </c>
      <c r="C136" s="8" t="s">
        <v>219</v>
      </c>
      <c r="D136" s="10">
        <v>45824</v>
      </c>
      <c r="E136" s="8" t="s">
        <v>352</v>
      </c>
      <c r="F136" s="8"/>
      <c r="G136" s="1" t="str">
        <f>INDEX(Customers!B:B,MATCH(B136,Customers!A:A,0))</f>
        <v>Aisha Johnson</v>
      </c>
      <c r="H136" s="1" t="str">
        <f>INDEX(Customers!E:E,MATCH(B136,Customers!A:A,0))</f>
        <v>Female</v>
      </c>
      <c r="I136" s="1">
        <f>INDEX(Customers!C:C,MATCH(B136,Customers!A:A,0))</f>
        <v>54</v>
      </c>
      <c r="J136" s="1" t="str">
        <f>INDEX(Customers!D:D,MATCH(B136,Customers!A:A,0))</f>
        <v>Kano</v>
      </c>
      <c r="K136" s="1" t="str">
        <f>INDEX(Products!B:B,MATCH(C136,Products!A:A,0))</f>
        <v>Accessories</v>
      </c>
      <c r="L136" s="1" t="str">
        <f>INDEX(Products!C:C,MATCH(C136,Products!A:A,0))</f>
        <v>Waist Belt</v>
      </c>
      <c r="M136" s="1">
        <f>INDEX(Products!D:D,MATCH(C136,Products!A:A,0))</f>
        <v>33</v>
      </c>
      <c r="N136" s="1" t="str">
        <f t="shared" si="8"/>
        <v>Summer</v>
      </c>
      <c r="O136" s="1" t="str">
        <f t="shared" si="9"/>
        <v>40-60</v>
      </c>
      <c r="P136" s="1" t="str">
        <f t="shared" si="10"/>
        <v>No</v>
      </c>
      <c r="Q136" s="17" t="str">
        <f t="shared" si="11"/>
        <v>No Code</v>
      </c>
    </row>
    <row r="137" spans="1:17" x14ac:dyDescent="0.25">
      <c r="A137" s="8">
        <v>5128</v>
      </c>
      <c r="B137" s="8" t="s">
        <v>102</v>
      </c>
      <c r="C137" s="8" t="s">
        <v>188</v>
      </c>
      <c r="D137" s="10">
        <v>45954</v>
      </c>
      <c r="E137" s="8" t="s">
        <v>233</v>
      </c>
      <c r="F137" s="8"/>
      <c r="G137" s="1" t="str">
        <f>INDEX(Customers!B:B,MATCH(B137,Customers!A:A,0))</f>
        <v>Grace Wilson</v>
      </c>
      <c r="H137" s="1" t="str">
        <f>INDEX(Customers!E:E,MATCH(B137,Customers!A:A,0))</f>
        <v>Female</v>
      </c>
      <c r="I137" s="1">
        <f>INDEX(Customers!C:C,MATCH(B137,Customers!A:A,0))</f>
        <v>30</v>
      </c>
      <c r="J137" s="1" t="str">
        <f>INDEX(Customers!D:D,MATCH(B137,Customers!A:A,0))</f>
        <v>Kaduna</v>
      </c>
      <c r="K137" s="1" t="str">
        <f>INDEX(Products!B:B,MATCH(C137,Products!A:A,0))</f>
        <v>Clothing</v>
      </c>
      <c r="L137" s="1" t="str">
        <f>INDEX(Products!C:C,MATCH(C137,Products!A:A,0))</f>
        <v>Linen Trousers</v>
      </c>
      <c r="M137" s="1">
        <f>INDEX(Products!D:D,MATCH(C137,Products!A:A,0))</f>
        <v>47</v>
      </c>
      <c r="N137" s="1" t="str">
        <f t="shared" si="8"/>
        <v>Fall</v>
      </c>
      <c r="O137" s="1" t="str">
        <f t="shared" si="9"/>
        <v>20-40</v>
      </c>
      <c r="P137" s="1" t="str">
        <f t="shared" si="10"/>
        <v>Yes</v>
      </c>
      <c r="Q137" s="17" t="str">
        <f t="shared" si="11"/>
        <v>No Code</v>
      </c>
    </row>
    <row r="138" spans="1:17" x14ac:dyDescent="0.25">
      <c r="A138" s="8">
        <v>5200</v>
      </c>
      <c r="B138" s="8" t="s">
        <v>112</v>
      </c>
      <c r="C138" s="8" t="s">
        <v>184</v>
      </c>
      <c r="D138" s="10">
        <v>45922</v>
      </c>
      <c r="E138" s="8" t="s">
        <v>234</v>
      </c>
      <c r="F138" s="8"/>
      <c r="G138" s="1" t="str">
        <f>INDEX(Customers!B:B,MATCH(B138,Customers!A:A,0))</f>
        <v>Ifeoma Martin</v>
      </c>
      <c r="H138" s="1" t="str">
        <f>INDEX(Customers!E:E,MATCH(B138,Customers!A:A,0))</f>
        <v>Female</v>
      </c>
      <c r="I138" s="1">
        <f>INDEX(Customers!C:C,MATCH(B138,Customers!A:A,0))</f>
        <v>22</v>
      </c>
      <c r="J138" s="1" t="str">
        <f>INDEX(Customers!D:D,MATCH(B138,Customers!A:A,0))</f>
        <v>Kano</v>
      </c>
      <c r="K138" s="1" t="str">
        <f>INDEX(Products!B:B,MATCH(C138,Products!A:A,0))</f>
        <v>Clothing</v>
      </c>
      <c r="L138" s="1" t="str">
        <f>INDEX(Products!C:C,MATCH(C138,Products!A:A,0))</f>
        <v>Silk Blouse</v>
      </c>
      <c r="M138" s="1">
        <f>INDEX(Products!D:D,MATCH(C138,Products!A:A,0))</f>
        <v>54</v>
      </c>
      <c r="N138" s="1" t="str">
        <f t="shared" si="8"/>
        <v>Fall</v>
      </c>
      <c r="O138" s="1" t="str">
        <f t="shared" si="9"/>
        <v>20-40</v>
      </c>
      <c r="P138" s="1" t="str">
        <f t="shared" si="10"/>
        <v>Yes</v>
      </c>
      <c r="Q138" s="17" t="str">
        <f t="shared" si="11"/>
        <v>No Code</v>
      </c>
    </row>
    <row r="139" spans="1:17" x14ac:dyDescent="0.25">
      <c r="A139" s="8">
        <v>5264</v>
      </c>
      <c r="B139" s="8" t="s">
        <v>53</v>
      </c>
      <c r="C139" s="8" t="s">
        <v>194</v>
      </c>
      <c r="D139" s="10">
        <v>45920</v>
      </c>
      <c r="E139" s="8" t="s">
        <v>231</v>
      </c>
      <c r="F139" s="8"/>
      <c r="G139" s="1" t="str">
        <f>INDEX(Customers!B:B,MATCH(B139,Customers!A:A,0))</f>
        <v>Emily Harris</v>
      </c>
      <c r="H139" s="1" t="str">
        <f>INDEX(Customers!E:E,MATCH(B139,Customers!A:A,0))</f>
        <v>Female</v>
      </c>
      <c r="I139" s="1">
        <f>INDEX(Customers!C:C,MATCH(B139,Customers!A:A,0))</f>
        <v>50</v>
      </c>
      <c r="J139" s="1" t="str">
        <f>INDEX(Customers!D:D,MATCH(B139,Customers!A:A,0))</f>
        <v>Abeokuta</v>
      </c>
      <c r="K139" s="1" t="str">
        <f>INDEX(Products!B:B,MATCH(C139,Products!A:A,0))</f>
        <v>Clothing</v>
      </c>
      <c r="L139" s="1" t="str">
        <f>INDEX(Products!C:C,MATCH(C139,Products!A:A,0))</f>
        <v>Jumpsuit</v>
      </c>
      <c r="M139" s="1">
        <f>INDEX(Products!D:D,MATCH(C139,Products!A:A,0))</f>
        <v>76</v>
      </c>
      <c r="N139" s="1" t="str">
        <f t="shared" si="8"/>
        <v>Fall</v>
      </c>
      <c r="O139" s="1" t="str">
        <f t="shared" si="9"/>
        <v>40-60</v>
      </c>
      <c r="P139" s="1" t="str">
        <f t="shared" si="10"/>
        <v>Yes</v>
      </c>
      <c r="Q139" s="17" t="str">
        <f t="shared" si="11"/>
        <v>No Code</v>
      </c>
    </row>
    <row r="140" spans="1:17" x14ac:dyDescent="0.25">
      <c r="A140" s="8">
        <v>5009</v>
      </c>
      <c r="B140" s="8" t="s">
        <v>119</v>
      </c>
      <c r="C140" s="8" t="s">
        <v>203</v>
      </c>
      <c r="D140" s="10">
        <v>46027</v>
      </c>
      <c r="E140" s="8" t="s">
        <v>353</v>
      </c>
      <c r="F140" s="8" t="s">
        <v>225</v>
      </c>
      <c r="G140" s="1" t="str">
        <f>INDEX(Customers!B:B,MATCH(B140,Customers!A:A,0))</f>
        <v>Nancy Brown</v>
      </c>
      <c r="H140" s="1" t="str">
        <f>INDEX(Customers!E:E,MATCH(B140,Customers!A:A,0))</f>
        <v>Female</v>
      </c>
      <c r="I140" s="1">
        <f>INDEX(Customers!C:C,MATCH(B140,Customers!A:A,0))</f>
        <v>20</v>
      </c>
      <c r="J140" s="1" t="str">
        <f>INDEX(Customers!D:D,MATCH(B140,Customers!A:A,0))</f>
        <v>Abuja</v>
      </c>
      <c r="K140" s="1" t="str">
        <f>INDEX(Products!B:B,MATCH(C140,Products!A:A,0))</f>
        <v>Accessories</v>
      </c>
      <c r="L140" s="1" t="str">
        <f>INDEX(Products!C:C,MATCH(C140,Products!A:A,0))</f>
        <v>Leather Handbag</v>
      </c>
      <c r="M140" s="1">
        <f>INDEX(Products!D:D,MATCH(C140,Products!A:A,0))</f>
        <v>145</v>
      </c>
      <c r="N140" s="1" t="str">
        <f t="shared" si="8"/>
        <v>Winter</v>
      </c>
      <c r="O140" s="1" t="str">
        <f t="shared" si="9"/>
        <v>20-40</v>
      </c>
      <c r="P140" s="1" t="str">
        <f t="shared" si="10"/>
        <v>Yes</v>
      </c>
      <c r="Q140" s="17" t="str">
        <f t="shared" si="11"/>
        <v>Used Code</v>
      </c>
    </row>
    <row r="141" spans="1:17" x14ac:dyDescent="0.25">
      <c r="A141" s="8">
        <v>5256</v>
      </c>
      <c r="B141" s="8" t="s">
        <v>156</v>
      </c>
      <c r="C141" s="8" t="s">
        <v>205</v>
      </c>
      <c r="D141" s="10">
        <v>46010</v>
      </c>
      <c r="E141" s="8" t="s">
        <v>352</v>
      </c>
      <c r="F141" s="8" t="s">
        <v>225</v>
      </c>
      <c r="G141" s="1" t="str">
        <f>INDEX(Customers!B:B,MATCH(B141,Customers!A:A,0))</f>
        <v>Daniel Thomas</v>
      </c>
      <c r="H141" s="1" t="str">
        <f>INDEX(Customers!E:E,MATCH(B141,Customers!A:A,0))</f>
        <v>Male</v>
      </c>
      <c r="I141" s="1">
        <f>INDEX(Customers!C:C,MATCH(B141,Customers!A:A,0))</f>
        <v>32</v>
      </c>
      <c r="J141" s="1" t="str">
        <f>INDEX(Customers!D:D,MATCH(B141,Customers!A:A,0))</f>
        <v>Abuja</v>
      </c>
      <c r="K141" s="1" t="str">
        <f>INDEX(Products!B:B,MATCH(C141,Products!A:A,0))</f>
        <v>Accessories</v>
      </c>
      <c r="L141" s="1" t="str">
        <f>INDEX(Products!C:C,MATCH(C141,Products!A:A,0))</f>
        <v>Sunglasses</v>
      </c>
      <c r="M141" s="1">
        <f>INDEX(Products!D:D,MATCH(C141,Products!A:A,0))</f>
        <v>38</v>
      </c>
      <c r="N141" s="1" t="str">
        <f t="shared" si="8"/>
        <v>Winter</v>
      </c>
      <c r="O141" s="1" t="str">
        <f t="shared" si="9"/>
        <v>20-40</v>
      </c>
      <c r="P141" s="1" t="str">
        <f t="shared" si="10"/>
        <v>Yes</v>
      </c>
      <c r="Q141" s="17" t="str">
        <f t="shared" si="11"/>
        <v>Used Code</v>
      </c>
    </row>
    <row r="142" spans="1:17" x14ac:dyDescent="0.25">
      <c r="A142" s="8">
        <v>5007</v>
      </c>
      <c r="B142" s="8" t="s">
        <v>127</v>
      </c>
      <c r="C142" s="8" t="s">
        <v>186</v>
      </c>
      <c r="D142" s="10">
        <v>46093</v>
      </c>
      <c r="E142" s="8" t="s">
        <v>233</v>
      </c>
      <c r="F142" s="8" t="s">
        <v>224</v>
      </c>
      <c r="G142" s="1" t="str">
        <f>INDEX(Customers!B:B,MATCH(B142,Customers!A:A,0))</f>
        <v>Karen Bello</v>
      </c>
      <c r="H142" s="1" t="str">
        <f>INDEX(Customers!E:E,MATCH(B142,Customers!A:A,0))</f>
        <v>Female</v>
      </c>
      <c r="I142" s="1">
        <f>INDEX(Customers!C:C,MATCH(B142,Customers!A:A,0))</f>
        <v>41</v>
      </c>
      <c r="J142" s="1" t="str">
        <f>INDEX(Customers!D:D,MATCH(B142,Customers!A:A,0))</f>
        <v>Uyo</v>
      </c>
      <c r="K142" s="1" t="str">
        <f>INDEX(Products!B:B,MATCH(C142,Products!A:A,0))</f>
        <v>Clothing</v>
      </c>
      <c r="L142" s="1" t="str">
        <f>INDEX(Products!C:C,MATCH(C142,Products!A:A,0))</f>
        <v>Maxi Gown</v>
      </c>
      <c r="M142" s="1">
        <f>INDEX(Products!D:D,MATCH(C142,Products!A:A,0))</f>
        <v>120</v>
      </c>
      <c r="N142" s="1" t="str">
        <f t="shared" si="8"/>
        <v>Spring</v>
      </c>
      <c r="O142" s="1" t="str">
        <f t="shared" si="9"/>
        <v>40-60</v>
      </c>
      <c r="P142" s="1" t="str">
        <f t="shared" si="10"/>
        <v>Yes</v>
      </c>
      <c r="Q142" s="17" t="str">
        <f t="shared" si="11"/>
        <v>Used Code</v>
      </c>
    </row>
    <row r="143" spans="1:17" x14ac:dyDescent="0.25">
      <c r="A143" s="8">
        <v>5132</v>
      </c>
      <c r="B143" s="8" t="s">
        <v>92</v>
      </c>
      <c r="C143" s="8" t="s">
        <v>200</v>
      </c>
      <c r="D143" s="10">
        <v>46080</v>
      </c>
      <c r="E143" s="8" t="s">
        <v>233</v>
      </c>
      <c r="F143" s="8" t="s">
        <v>226</v>
      </c>
      <c r="G143" s="1" t="str">
        <f>INDEX(Customers!B:B,MATCH(B143,Customers!A:A,0))</f>
        <v>Sarah Williams</v>
      </c>
      <c r="H143" s="1" t="str">
        <f>INDEX(Customers!E:E,MATCH(B143,Customers!A:A,0))</f>
        <v>Female</v>
      </c>
      <c r="I143" s="1">
        <f>INDEX(Customers!C:C,MATCH(B143,Customers!A:A,0))</f>
        <v>26</v>
      </c>
      <c r="J143" s="1" t="str">
        <f>INDEX(Customers!D:D,MATCH(B143,Customers!A:A,0))</f>
        <v>Lagos</v>
      </c>
      <c r="K143" s="1" t="str">
        <f>INDEX(Products!B:B,MATCH(C143,Products!A:A,0))</f>
        <v>Accessories</v>
      </c>
      <c r="L143" s="1" t="str">
        <f>INDEX(Products!C:C,MATCH(C143,Products!A:A,0))</f>
        <v>Beaded Necklace</v>
      </c>
      <c r="M143" s="1">
        <f>INDEX(Products!D:D,MATCH(C143,Products!A:A,0))</f>
        <v>25</v>
      </c>
      <c r="N143" s="1" t="str">
        <f t="shared" si="8"/>
        <v>Winter</v>
      </c>
      <c r="O143" s="1" t="str">
        <f t="shared" si="9"/>
        <v>20-40</v>
      </c>
      <c r="P143" s="1" t="str">
        <f t="shared" si="10"/>
        <v>Yes</v>
      </c>
      <c r="Q143" s="17" t="str">
        <f t="shared" si="11"/>
        <v>Used Code</v>
      </c>
    </row>
    <row r="144" spans="1:17" x14ac:dyDescent="0.25">
      <c r="A144" s="8">
        <v>5003</v>
      </c>
      <c r="B144" s="8" t="s">
        <v>114</v>
      </c>
      <c r="C144" s="8" t="s">
        <v>203</v>
      </c>
      <c r="D144" s="10">
        <v>45887</v>
      </c>
      <c r="E144" s="8" t="s">
        <v>352</v>
      </c>
      <c r="F144" s="8" t="s">
        <v>225</v>
      </c>
      <c r="G144" s="1" t="str">
        <f>INDEX(Customers!B:B,MATCH(B144,Customers!A:A,0))</f>
        <v>Tunde Wilson</v>
      </c>
      <c r="H144" s="1" t="str">
        <f>INDEX(Customers!E:E,MATCH(B144,Customers!A:A,0))</f>
        <v>Male</v>
      </c>
      <c r="I144" s="1">
        <f>INDEX(Customers!C:C,MATCH(B144,Customers!A:A,0))</f>
        <v>59</v>
      </c>
      <c r="J144" s="1" t="str">
        <f>INDEX(Customers!D:D,MATCH(B144,Customers!A:A,0))</f>
        <v>Lagos</v>
      </c>
      <c r="K144" s="1" t="str">
        <f>INDEX(Products!B:B,MATCH(C144,Products!A:A,0))</f>
        <v>Accessories</v>
      </c>
      <c r="L144" s="1" t="str">
        <f>INDEX(Products!C:C,MATCH(C144,Products!A:A,0))</f>
        <v>Leather Handbag</v>
      </c>
      <c r="M144" s="1">
        <f>INDEX(Products!D:D,MATCH(C144,Products!A:A,0))</f>
        <v>145</v>
      </c>
      <c r="N144" s="1" t="str">
        <f t="shared" si="8"/>
        <v>Summer</v>
      </c>
      <c r="O144" s="1" t="str">
        <f t="shared" si="9"/>
        <v>40-60</v>
      </c>
      <c r="P144" s="1" t="str">
        <f t="shared" si="10"/>
        <v>Yes</v>
      </c>
      <c r="Q144" s="17" t="str">
        <f t="shared" si="11"/>
        <v>Used Code</v>
      </c>
    </row>
    <row r="145" spans="1:17" x14ac:dyDescent="0.25">
      <c r="A145" s="8">
        <v>5169</v>
      </c>
      <c r="B145" s="8" t="s">
        <v>91</v>
      </c>
      <c r="C145" s="8" t="s">
        <v>205</v>
      </c>
      <c r="D145" s="10">
        <v>46154</v>
      </c>
      <c r="E145" s="8" t="s">
        <v>352</v>
      </c>
      <c r="F145" s="8" t="s">
        <v>226</v>
      </c>
      <c r="G145" s="1" t="str">
        <f>INDEX(Customers!B:B,MATCH(B145,Customers!A:A,0))</f>
        <v>Tunde Abubakar</v>
      </c>
      <c r="H145" s="1" t="str">
        <f>INDEX(Customers!E:E,MATCH(B145,Customers!A:A,0))</f>
        <v>Male</v>
      </c>
      <c r="I145" s="1">
        <f>INDEX(Customers!C:C,MATCH(B145,Customers!A:A,0))</f>
        <v>25</v>
      </c>
      <c r="J145" s="1" t="str">
        <f>INDEX(Customers!D:D,MATCH(B145,Customers!A:A,0))</f>
        <v>Benin City</v>
      </c>
      <c r="K145" s="1" t="str">
        <f>INDEX(Products!B:B,MATCH(C145,Products!A:A,0))</f>
        <v>Accessories</v>
      </c>
      <c r="L145" s="1" t="str">
        <f>INDEX(Products!C:C,MATCH(C145,Products!A:A,0))</f>
        <v>Sunglasses</v>
      </c>
      <c r="M145" s="1">
        <f>INDEX(Products!D:D,MATCH(C145,Products!A:A,0))</f>
        <v>38</v>
      </c>
      <c r="N145" s="1" t="str">
        <f t="shared" si="8"/>
        <v>Spring</v>
      </c>
      <c r="O145" s="1" t="str">
        <f t="shared" si="9"/>
        <v>20-40</v>
      </c>
      <c r="P145" s="1" t="str">
        <f t="shared" si="10"/>
        <v>No</v>
      </c>
      <c r="Q145" s="17" t="str">
        <f t="shared" si="11"/>
        <v>Used Code</v>
      </c>
    </row>
    <row r="146" spans="1:17" x14ac:dyDescent="0.25">
      <c r="A146" s="8">
        <v>5047</v>
      </c>
      <c r="B146" s="8" t="s">
        <v>95</v>
      </c>
      <c r="C146" s="8" t="s">
        <v>190</v>
      </c>
      <c r="D146" s="10">
        <v>46040</v>
      </c>
      <c r="E146" s="8" t="s">
        <v>231</v>
      </c>
      <c r="F146" s="8"/>
      <c r="G146" s="1" t="str">
        <f>INDEX(Customers!B:B,MATCH(B146,Customers!A:A,0))</f>
        <v>James Harris</v>
      </c>
      <c r="H146" s="1" t="str">
        <f>INDEX(Customers!E:E,MATCH(B146,Customers!A:A,0))</f>
        <v>Male</v>
      </c>
      <c r="I146" s="1">
        <f>INDEX(Customers!C:C,MATCH(B146,Customers!A:A,0))</f>
        <v>23</v>
      </c>
      <c r="J146" s="1" t="str">
        <f>INDEX(Customers!D:D,MATCH(B146,Customers!A:A,0))</f>
        <v>Kano</v>
      </c>
      <c r="K146" s="1" t="str">
        <f>INDEX(Products!B:B,MATCH(C146,Products!A:A,0))</f>
        <v>Clothing</v>
      </c>
      <c r="L146" s="1" t="str">
        <f>INDEX(Products!C:C,MATCH(C146,Products!A:A,0))</f>
        <v>Kaftan</v>
      </c>
      <c r="M146" s="1">
        <f>INDEX(Products!D:D,MATCH(C146,Products!A:A,0))</f>
        <v>89</v>
      </c>
      <c r="N146" s="1" t="str">
        <f t="shared" si="8"/>
        <v>Winter</v>
      </c>
      <c r="O146" s="1" t="str">
        <f t="shared" si="9"/>
        <v>20-40</v>
      </c>
      <c r="P146" s="1" t="str">
        <f t="shared" si="10"/>
        <v>Yes</v>
      </c>
      <c r="Q146" s="17" t="str">
        <f t="shared" si="11"/>
        <v>No Code</v>
      </c>
    </row>
    <row r="147" spans="1:17" x14ac:dyDescent="0.25">
      <c r="A147" s="8">
        <v>5066</v>
      </c>
      <c r="B147" s="8" t="s">
        <v>54</v>
      </c>
      <c r="C147" s="8" t="s">
        <v>194</v>
      </c>
      <c r="D147" s="10">
        <v>45880</v>
      </c>
      <c r="E147" s="8" t="s">
        <v>353</v>
      </c>
      <c r="F147" s="8"/>
      <c r="G147" s="1" t="str">
        <f>INDEX(Customers!B:B,MATCH(B147,Customers!A:A,0))</f>
        <v>Aisha Garba</v>
      </c>
      <c r="H147" s="1" t="str">
        <f>INDEX(Customers!E:E,MATCH(B147,Customers!A:A,0))</f>
        <v>Female</v>
      </c>
      <c r="I147" s="1">
        <f>INDEX(Customers!C:C,MATCH(B147,Customers!A:A,0))</f>
        <v>32</v>
      </c>
      <c r="J147" s="1" t="str">
        <f>INDEX(Customers!D:D,MATCH(B147,Customers!A:A,0))</f>
        <v>Lagos</v>
      </c>
      <c r="K147" s="1" t="str">
        <f>INDEX(Products!B:B,MATCH(C147,Products!A:A,0))</f>
        <v>Clothing</v>
      </c>
      <c r="L147" s="1" t="str">
        <f>INDEX(Products!C:C,MATCH(C147,Products!A:A,0))</f>
        <v>Jumpsuit</v>
      </c>
      <c r="M147" s="1">
        <f>INDEX(Products!D:D,MATCH(C147,Products!A:A,0))</f>
        <v>76</v>
      </c>
      <c r="N147" s="1" t="str">
        <f t="shared" si="8"/>
        <v>Summer</v>
      </c>
      <c r="O147" s="1" t="str">
        <f t="shared" si="9"/>
        <v>20-40</v>
      </c>
      <c r="P147" s="1" t="str">
        <f t="shared" si="10"/>
        <v>Yes</v>
      </c>
      <c r="Q147" s="17" t="str">
        <f t="shared" si="11"/>
        <v>No Code</v>
      </c>
    </row>
    <row r="148" spans="1:17" x14ac:dyDescent="0.25">
      <c r="A148" s="8">
        <v>5122</v>
      </c>
      <c r="B148" s="8" t="s">
        <v>55</v>
      </c>
      <c r="C148" s="8" t="s">
        <v>190</v>
      </c>
      <c r="D148" s="10">
        <v>46135</v>
      </c>
      <c r="E148" s="8" t="s">
        <v>231</v>
      </c>
      <c r="F148" s="8"/>
      <c r="G148" s="1" t="str">
        <f>INDEX(Customers!B:B,MATCH(B148,Customers!A:A,0))</f>
        <v>Adaeze Thomas</v>
      </c>
      <c r="H148" s="1" t="str">
        <f>INDEX(Customers!E:E,MATCH(B148,Customers!A:A,0))</f>
        <v>Female</v>
      </c>
      <c r="I148" s="1">
        <f>INDEX(Customers!C:C,MATCH(B148,Customers!A:A,0))</f>
        <v>40</v>
      </c>
      <c r="J148" s="1" t="str">
        <f>INDEX(Customers!D:D,MATCH(B148,Customers!A:A,0))</f>
        <v>Jos</v>
      </c>
      <c r="K148" s="1" t="str">
        <f>INDEX(Products!B:B,MATCH(C148,Products!A:A,0))</f>
        <v>Clothing</v>
      </c>
      <c r="L148" s="1" t="str">
        <f>INDEX(Products!C:C,MATCH(C148,Products!A:A,0))</f>
        <v>Kaftan</v>
      </c>
      <c r="M148" s="1">
        <f>INDEX(Products!D:D,MATCH(C148,Products!A:A,0))</f>
        <v>89</v>
      </c>
      <c r="N148" s="1" t="str">
        <f t="shared" si="8"/>
        <v>Spring</v>
      </c>
      <c r="O148" s="1" t="str">
        <f t="shared" si="9"/>
        <v>40-60</v>
      </c>
      <c r="P148" s="1" t="str">
        <f t="shared" si="10"/>
        <v>Yes</v>
      </c>
      <c r="Q148" s="17" t="str">
        <f t="shared" si="11"/>
        <v>No Code</v>
      </c>
    </row>
    <row r="149" spans="1:17" x14ac:dyDescent="0.25">
      <c r="A149" s="8">
        <v>5234</v>
      </c>
      <c r="B149" s="8" t="s">
        <v>118</v>
      </c>
      <c r="C149" s="8" t="s">
        <v>211</v>
      </c>
      <c r="D149" s="10">
        <v>46103</v>
      </c>
      <c r="E149" s="8" t="s">
        <v>234</v>
      </c>
      <c r="F149" s="8"/>
      <c r="G149" s="1" t="str">
        <f>INDEX(Customers!B:B,MATCH(B149,Customers!A:A,0))</f>
        <v>Rita Smith</v>
      </c>
      <c r="H149" s="1" t="str">
        <f>INDEX(Customers!E:E,MATCH(B149,Customers!A:A,0))</f>
        <v>Female</v>
      </c>
      <c r="I149" s="1">
        <f>INDEX(Customers!C:C,MATCH(B149,Customers!A:A,0))</f>
        <v>47</v>
      </c>
      <c r="J149" s="1" t="str">
        <f>INDEX(Customers!D:D,MATCH(B149,Customers!A:A,0))</f>
        <v>Port Harcourt</v>
      </c>
      <c r="K149" s="1" t="str">
        <f>INDEX(Products!B:B,MATCH(C149,Products!A:A,0))</f>
        <v>Accessories</v>
      </c>
      <c r="L149" s="1" t="str">
        <f>INDEX(Products!C:C,MATCH(C149,Products!A:A,0))</f>
        <v>Bangle Set</v>
      </c>
      <c r="M149" s="1">
        <f>INDEX(Products!D:D,MATCH(C149,Products!A:A,0))</f>
        <v>22</v>
      </c>
      <c r="N149" s="1" t="str">
        <f t="shared" si="8"/>
        <v>Spring</v>
      </c>
      <c r="O149" s="1" t="str">
        <f t="shared" si="9"/>
        <v>40-60</v>
      </c>
      <c r="P149" s="1" t="str">
        <f t="shared" si="10"/>
        <v>Yes</v>
      </c>
      <c r="Q149" s="17" t="str">
        <f t="shared" si="11"/>
        <v>No Code</v>
      </c>
    </row>
    <row r="150" spans="1:17" x14ac:dyDescent="0.25">
      <c r="A150" s="8">
        <v>5194</v>
      </c>
      <c r="B150" s="8" t="s">
        <v>40</v>
      </c>
      <c r="C150" s="8" t="s">
        <v>198</v>
      </c>
      <c r="D150" s="10">
        <v>46125</v>
      </c>
      <c r="E150" s="8" t="s">
        <v>352</v>
      </c>
      <c r="F150" s="8"/>
      <c r="G150" s="1" t="str">
        <f>INDEX(Customers!B:B,MATCH(B150,Customers!A:A,0))</f>
        <v>Peter Johnson</v>
      </c>
      <c r="H150" s="1" t="str">
        <f>INDEX(Customers!E:E,MATCH(B150,Customers!A:A,0))</f>
        <v>Male</v>
      </c>
      <c r="I150" s="1">
        <f>INDEX(Customers!C:C,MATCH(B150,Customers!A:A,0))</f>
        <v>35</v>
      </c>
      <c r="J150" s="1" t="str">
        <f>INDEX(Customers!D:D,MATCH(B150,Customers!A:A,0))</f>
        <v>Lagos</v>
      </c>
      <c r="K150" s="1" t="str">
        <f>INDEX(Products!B:B,MATCH(C150,Products!A:A,0))</f>
        <v>Clothing</v>
      </c>
      <c r="L150" s="1" t="str">
        <f>INDEX(Products!C:C,MATCH(C150,Products!A:A,0))</f>
        <v>Knit Sweater</v>
      </c>
      <c r="M150" s="1">
        <f>INDEX(Products!D:D,MATCH(C150,Products!A:A,0))</f>
        <v>58</v>
      </c>
      <c r="N150" s="1" t="str">
        <f t="shared" si="8"/>
        <v>Spring</v>
      </c>
      <c r="O150" s="1" t="str">
        <f t="shared" si="9"/>
        <v>20-40</v>
      </c>
      <c r="P150" s="1" t="str">
        <f t="shared" si="10"/>
        <v>Yes</v>
      </c>
      <c r="Q150" s="17" t="str">
        <f t="shared" si="11"/>
        <v>No Code</v>
      </c>
    </row>
    <row r="151" spans="1:17" x14ac:dyDescent="0.25">
      <c r="A151" s="8">
        <v>5192</v>
      </c>
      <c r="B151" s="8" t="s">
        <v>29</v>
      </c>
      <c r="C151" s="8" t="s">
        <v>192</v>
      </c>
      <c r="D151" s="10">
        <v>45809</v>
      </c>
      <c r="E151" s="8" t="s">
        <v>352</v>
      </c>
      <c r="F151" s="8"/>
      <c r="G151" s="1" t="str">
        <f>INDEX(Customers!B:B,MATCH(B151,Customers!A:A,0))</f>
        <v>Sarah Eze</v>
      </c>
      <c r="H151" s="1" t="str">
        <f>INDEX(Customers!E:E,MATCH(B151,Customers!A:A,0))</f>
        <v>Female</v>
      </c>
      <c r="I151" s="1">
        <f>INDEX(Customers!C:C,MATCH(B151,Customers!A:A,0))</f>
        <v>26</v>
      </c>
      <c r="J151" s="1" t="str">
        <f>INDEX(Customers!D:D,MATCH(B151,Customers!A:A,0))</f>
        <v>Calabar</v>
      </c>
      <c r="K151" s="1" t="str">
        <f>INDEX(Products!B:B,MATCH(C151,Products!A:A,0))</f>
        <v>Clothing</v>
      </c>
      <c r="L151" s="1" t="str">
        <f>INDEX(Products!C:C,MATCH(C151,Products!A:A,0))</f>
        <v>Blazer</v>
      </c>
      <c r="M151" s="1">
        <f>INDEX(Products!D:D,MATCH(C151,Products!A:A,0))</f>
        <v>135</v>
      </c>
      <c r="N151" s="1" t="str">
        <f t="shared" si="8"/>
        <v>Summer</v>
      </c>
      <c r="O151" s="1" t="str">
        <f t="shared" si="9"/>
        <v>20-40</v>
      </c>
      <c r="P151" s="1" t="str">
        <f t="shared" si="10"/>
        <v>No</v>
      </c>
      <c r="Q151" s="17" t="str">
        <f t="shared" si="11"/>
        <v>No Code</v>
      </c>
    </row>
    <row r="152" spans="1:17" x14ac:dyDescent="0.25">
      <c r="A152" s="8">
        <v>5072</v>
      </c>
      <c r="B152" s="8" t="s">
        <v>241</v>
      </c>
      <c r="C152" s="8" t="s">
        <v>200</v>
      </c>
      <c r="D152" s="10">
        <v>45922</v>
      </c>
      <c r="E152" s="8" t="s">
        <v>231</v>
      </c>
      <c r="F152" s="8"/>
      <c r="G152" s="1" t="str">
        <f>INDEX(Customers!B:B,MATCH(B152,Customers!A:A,0))</f>
        <v>Ngozi Abubakar</v>
      </c>
      <c r="H152" s="1" t="str">
        <f>INDEX(Customers!E:E,MATCH(B152,Customers!A:A,0))</f>
        <v>Female</v>
      </c>
      <c r="I152" s="1">
        <f>INDEX(Customers!C:C,MATCH(B152,Customers!A:A,0))</f>
        <v>52</v>
      </c>
      <c r="J152" s="1" t="str">
        <f>INDEX(Customers!D:D,MATCH(B152,Customers!A:A,0))</f>
        <v>Enugu</v>
      </c>
      <c r="K152" s="1" t="str">
        <f>INDEX(Products!B:B,MATCH(C152,Products!A:A,0))</f>
        <v>Accessories</v>
      </c>
      <c r="L152" s="1" t="str">
        <f>INDEX(Products!C:C,MATCH(C152,Products!A:A,0))</f>
        <v>Beaded Necklace</v>
      </c>
      <c r="M152" s="1">
        <f>INDEX(Products!D:D,MATCH(C152,Products!A:A,0))</f>
        <v>25</v>
      </c>
      <c r="N152" s="1" t="str">
        <f t="shared" si="8"/>
        <v>Fall</v>
      </c>
      <c r="O152" s="1" t="str">
        <f t="shared" si="9"/>
        <v>40-60</v>
      </c>
      <c r="P152" s="1" t="str">
        <f t="shared" si="10"/>
        <v>No</v>
      </c>
      <c r="Q152" s="17" t="str">
        <f t="shared" si="11"/>
        <v>No Code</v>
      </c>
    </row>
    <row r="153" spans="1:17" x14ac:dyDescent="0.25">
      <c r="A153" s="8">
        <v>5053</v>
      </c>
      <c r="B153" s="8" t="s">
        <v>63</v>
      </c>
      <c r="C153" s="8" t="s">
        <v>213</v>
      </c>
      <c r="D153" s="10">
        <v>45926</v>
      </c>
      <c r="E153" s="8" t="s">
        <v>231</v>
      </c>
      <c r="F153" s="8"/>
      <c r="G153" s="1" t="str">
        <f>INDEX(Customers!B:B,MATCH(B153,Customers!A:A,0))</f>
        <v>Daniel Jackson</v>
      </c>
      <c r="H153" s="1" t="str">
        <f>INDEX(Customers!E:E,MATCH(B153,Customers!A:A,0))</f>
        <v>Male</v>
      </c>
      <c r="I153" s="1">
        <f>INDEX(Customers!C:C,MATCH(B153,Customers!A:A,0))</f>
        <v>42</v>
      </c>
      <c r="J153" s="1" t="str">
        <f>INDEX(Customers!D:D,MATCH(B153,Customers!A:A,0))</f>
        <v>Ilorin</v>
      </c>
      <c r="K153" s="1" t="str">
        <f>INDEX(Products!B:B,MATCH(C153,Products!A:A,0))</f>
        <v>Accessories</v>
      </c>
      <c r="L153" s="1" t="str">
        <f>INDEX(Products!C:C,MATCH(C153,Products!A:A,0))</f>
        <v>Ankle Boots</v>
      </c>
      <c r="M153" s="1">
        <f>INDEX(Products!D:D,MATCH(C153,Products!A:A,0))</f>
        <v>110</v>
      </c>
      <c r="N153" s="1" t="str">
        <f t="shared" si="8"/>
        <v>Fall</v>
      </c>
      <c r="O153" s="1" t="str">
        <f t="shared" si="9"/>
        <v>40-60</v>
      </c>
      <c r="P153" s="1" t="str">
        <f t="shared" si="10"/>
        <v>Yes</v>
      </c>
      <c r="Q153" s="17" t="str">
        <f t="shared" si="11"/>
        <v>No Code</v>
      </c>
    </row>
    <row r="154" spans="1:17" x14ac:dyDescent="0.25">
      <c r="A154" s="8">
        <v>5295</v>
      </c>
      <c r="B154" s="8" t="s">
        <v>11</v>
      </c>
      <c r="C154" s="8" t="s">
        <v>209</v>
      </c>
      <c r="D154" s="10">
        <v>45891</v>
      </c>
      <c r="E154" s="8" t="s">
        <v>231</v>
      </c>
      <c r="F154" s="8"/>
      <c r="G154" s="1" t="str">
        <f>INDEX(Customers!B:B,MATCH(B154,Customers!A:A,0))</f>
        <v>Daniel White</v>
      </c>
      <c r="H154" s="1" t="str">
        <f>INDEX(Customers!E:E,MATCH(B154,Customers!A:A,0))</f>
        <v>Male</v>
      </c>
      <c r="I154" s="1">
        <f>INDEX(Customers!C:C,MATCH(B154,Customers!A:A,0))</f>
        <v>20</v>
      </c>
      <c r="J154" s="1" t="str">
        <f>INDEX(Customers!D:D,MATCH(B154,Customers!A:A,0))</f>
        <v>Uyo</v>
      </c>
      <c r="K154" s="1" t="str">
        <f>INDEX(Products!B:B,MATCH(C154,Products!A:A,0))</f>
        <v>Accessories</v>
      </c>
      <c r="L154" s="1" t="str">
        <f>INDEX(Products!C:C,MATCH(C154,Products!A:A,0))</f>
        <v>Tote Bag</v>
      </c>
      <c r="M154" s="1">
        <f>INDEX(Products!D:D,MATCH(C154,Products!A:A,0))</f>
        <v>62</v>
      </c>
      <c r="N154" s="1" t="str">
        <f t="shared" si="8"/>
        <v>Summer</v>
      </c>
      <c r="O154" s="1" t="str">
        <f t="shared" si="9"/>
        <v>20-40</v>
      </c>
      <c r="P154" s="1" t="str">
        <f t="shared" si="10"/>
        <v>Yes</v>
      </c>
      <c r="Q154" s="17" t="str">
        <f t="shared" si="11"/>
        <v>No Code</v>
      </c>
    </row>
    <row r="155" spans="1:17" x14ac:dyDescent="0.25">
      <c r="A155" s="8">
        <v>5082</v>
      </c>
      <c r="B155" s="8" t="s">
        <v>59</v>
      </c>
      <c r="C155" s="8" t="s">
        <v>179</v>
      </c>
      <c r="D155" s="10">
        <v>45833</v>
      </c>
      <c r="E155" s="8" t="s">
        <v>352</v>
      </c>
      <c r="F155" s="8" t="s">
        <v>225</v>
      </c>
      <c r="G155" s="1" t="str">
        <f>INDEX(Customers!B:B,MATCH(B155,Customers!A:A,0))</f>
        <v>David Brown</v>
      </c>
      <c r="H155" s="1" t="str">
        <f>INDEX(Customers!E:E,MATCH(B155,Customers!A:A,0))</f>
        <v>Male</v>
      </c>
      <c r="I155" s="1">
        <f>INDEX(Customers!C:C,MATCH(B155,Customers!A:A,0))</f>
        <v>22</v>
      </c>
      <c r="J155" s="1" t="str">
        <f>INDEX(Customers!D:D,MATCH(B155,Customers!A:A,0))</f>
        <v>Ibadan</v>
      </c>
      <c r="K155" s="1" t="str">
        <f>INDEX(Products!B:B,MATCH(C155,Products!A:A,0))</f>
        <v>Clothing</v>
      </c>
      <c r="L155" s="1" t="str">
        <f>INDEX(Products!C:C,MATCH(C155,Products!A:A,0))</f>
        <v>Ankara Dress</v>
      </c>
      <c r="M155" s="1">
        <f>INDEX(Products!D:D,MATCH(C155,Products!A:A,0))</f>
        <v>68</v>
      </c>
      <c r="N155" s="1" t="str">
        <f t="shared" si="8"/>
        <v>Summer</v>
      </c>
      <c r="O155" s="1" t="str">
        <f t="shared" si="9"/>
        <v>20-40</v>
      </c>
      <c r="P155" s="1" t="str">
        <f t="shared" si="10"/>
        <v>Yes</v>
      </c>
      <c r="Q155" s="17" t="str">
        <f t="shared" si="11"/>
        <v>Used Code</v>
      </c>
    </row>
    <row r="156" spans="1:17" x14ac:dyDescent="0.25">
      <c r="A156" s="8">
        <v>5291</v>
      </c>
      <c r="B156" s="8" t="s">
        <v>89</v>
      </c>
      <c r="C156" s="8" t="s">
        <v>190</v>
      </c>
      <c r="D156" s="10">
        <v>46125</v>
      </c>
      <c r="E156" s="8" t="s">
        <v>352</v>
      </c>
      <c r="F156" s="8" t="s">
        <v>224</v>
      </c>
      <c r="G156" s="1" t="str">
        <f>INDEX(Customers!B:B,MATCH(B156,Customers!A:A,0))</f>
        <v>Adaeze Eze</v>
      </c>
      <c r="H156" s="1" t="str">
        <f>INDEX(Customers!E:E,MATCH(B156,Customers!A:A,0))</f>
        <v>Female</v>
      </c>
      <c r="I156" s="1">
        <f>INDEX(Customers!C:C,MATCH(B156,Customers!A:A,0))</f>
        <v>22</v>
      </c>
      <c r="J156" s="1" t="str">
        <f>INDEX(Customers!D:D,MATCH(B156,Customers!A:A,0))</f>
        <v>Calabar</v>
      </c>
      <c r="K156" s="1" t="str">
        <f>INDEX(Products!B:B,MATCH(C156,Products!A:A,0))</f>
        <v>Clothing</v>
      </c>
      <c r="L156" s="1" t="str">
        <f>INDEX(Products!C:C,MATCH(C156,Products!A:A,0))</f>
        <v>Kaftan</v>
      </c>
      <c r="M156" s="1">
        <f>INDEX(Products!D:D,MATCH(C156,Products!A:A,0))</f>
        <v>89</v>
      </c>
      <c r="N156" s="1" t="str">
        <f t="shared" si="8"/>
        <v>Spring</v>
      </c>
      <c r="O156" s="1" t="str">
        <f t="shared" si="9"/>
        <v>20-40</v>
      </c>
      <c r="P156" s="1" t="str">
        <f t="shared" si="10"/>
        <v>Yes</v>
      </c>
      <c r="Q156" s="17" t="str">
        <f t="shared" si="11"/>
        <v>Used Code</v>
      </c>
    </row>
    <row r="157" spans="1:17" x14ac:dyDescent="0.25">
      <c r="A157" s="8">
        <v>5020</v>
      </c>
      <c r="B157" s="8" t="s">
        <v>5</v>
      </c>
      <c r="C157" s="8" t="s">
        <v>211</v>
      </c>
      <c r="D157" s="10">
        <v>46020</v>
      </c>
      <c r="E157" s="8" t="s">
        <v>233</v>
      </c>
      <c r="F157" s="8"/>
      <c r="G157" s="1" t="str">
        <f>INDEX(Customers!B:B,MATCH(B157,Customers!A:A,0))</f>
        <v>Rita Abubakar</v>
      </c>
      <c r="H157" s="1" t="str">
        <f>INDEX(Customers!E:E,MATCH(B157,Customers!A:A,0))</f>
        <v>Female</v>
      </c>
      <c r="I157" s="1">
        <f>INDEX(Customers!C:C,MATCH(B157,Customers!A:A,0))</f>
        <v>27</v>
      </c>
      <c r="J157" s="1" t="str">
        <f>INDEX(Customers!D:D,MATCH(B157,Customers!A:A,0))</f>
        <v>Owerri</v>
      </c>
      <c r="K157" s="1" t="str">
        <f>INDEX(Products!B:B,MATCH(C157,Products!A:A,0))</f>
        <v>Accessories</v>
      </c>
      <c r="L157" s="1" t="str">
        <f>INDEX(Products!C:C,MATCH(C157,Products!A:A,0))</f>
        <v>Bangle Set</v>
      </c>
      <c r="M157" s="1">
        <f>INDEX(Products!D:D,MATCH(C157,Products!A:A,0))</f>
        <v>22</v>
      </c>
      <c r="N157" s="1" t="str">
        <f t="shared" si="8"/>
        <v>Winter</v>
      </c>
      <c r="O157" s="1" t="str">
        <f t="shared" si="9"/>
        <v>20-40</v>
      </c>
      <c r="P157" s="1" t="str">
        <f t="shared" si="10"/>
        <v>Yes</v>
      </c>
      <c r="Q157" s="17" t="str">
        <f t="shared" si="11"/>
        <v>No Code</v>
      </c>
    </row>
    <row r="158" spans="1:17" x14ac:dyDescent="0.25">
      <c r="A158" s="8">
        <v>5267</v>
      </c>
      <c r="B158" s="8" t="s">
        <v>172</v>
      </c>
      <c r="C158" s="8" t="s">
        <v>200</v>
      </c>
      <c r="D158" s="10">
        <v>46086</v>
      </c>
      <c r="E158" s="8" t="s">
        <v>352</v>
      </c>
      <c r="F158" s="8"/>
      <c r="G158" s="1" t="str">
        <f>INDEX(Customers!B:B,MATCH(B158,Customers!A:A,0))</f>
        <v>Linda Chukwu</v>
      </c>
      <c r="H158" s="1" t="str">
        <f>INDEX(Customers!E:E,MATCH(B158,Customers!A:A,0))</f>
        <v>Female</v>
      </c>
      <c r="I158" s="1">
        <f>INDEX(Customers!C:C,MATCH(B158,Customers!A:A,0))</f>
        <v>59</v>
      </c>
      <c r="J158" s="1" t="str">
        <f>INDEX(Customers!D:D,MATCH(B158,Customers!A:A,0))</f>
        <v>Ibadan</v>
      </c>
      <c r="K158" s="1" t="str">
        <f>INDEX(Products!B:B,MATCH(C158,Products!A:A,0))</f>
        <v>Accessories</v>
      </c>
      <c r="L158" s="1" t="str">
        <f>INDEX(Products!C:C,MATCH(C158,Products!A:A,0))</f>
        <v>Beaded Necklace</v>
      </c>
      <c r="M158" s="1">
        <f>INDEX(Products!D:D,MATCH(C158,Products!A:A,0))</f>
        <v>25</v>
      </c>
      <c r="N158" s="1" t="str">
        <f t="shared" si="8"/>
        <v>Spring</v>
      </c>
      <c r="O158" s="1" t="str">
        <f t="shared" si="9"/>
        <v>40-60</v>
      </c>
      <c r="P158" s="1" t="str">
        <f t="shared" si="10"/>
        <v>Yes</v>
      </c>
      <c r="Q158" s="17" t="str">
        <f t="shared" si="11"/>
        <v>No Code</v>
      </c>
    </row>
    <row r="159" spans="1:17" x14ac:dyDescent="0.25">
      <c r="A159" s="8">
        <v>5120</v>
      </c>
      <c r="B159" s="8" t="s">
        <v>42</v>
      </c>
      <c r="C159" s="8" t="s">
        <v>186</v>
      </c>
      <c r="D159" s="10">
        <v>46139</v>
      </c>
      <c r="E159" s="8" t="s">
        <v>353</v>
      </c>
      <c r="F159" s="8"/>
      <c r="G159" s="1" t="str">
        <f>INDEX(Customers!B:B,MATCH(B159,Customers!A:A,0))</f>
        <v>Chioma Brown</v>
      </c>
      <c r="H159" s="1" t="str">
        <f>INDEX(Customers!E:E,MATCH(B159,Customers!A:A,0))</f>
        <v>Female</v>
      </c>
      <c r="I159" s="1">
        <f>INDEX(Customers!C:C,MATCH(B159,Customers!A:A,0))</f>
        <v>48</v>
      </c>
      <c r="J159" s="1" t="str">
        <f>INDEX(Customers!D:D,MATCH(B159,Customers!A:A,0))</f>
        <v>Uyo</v>
      </c>
      <c r="K159" s="1" t="str">
        <f>INDEX(Products!B:B,MATCH(C159,Products!A:A,0))</f>
        <v>Clothing</v>
      </c>
      <c r="L159" s="1" t="str">
        <f>INDEX(Products!C:C,MATCH(C159,Products!A:A,0))</f>
        <v>Maxi Gown</v>
      </c>
      <c r="M159" s="1">
        <f>INDEX(Products!D:D,MATCH(C159,Products!A:A,0))</f>
        <v>120</v>
      </c>
      <c r="N159" s="1" t="str">
        <f t="shared" si="8"/>
        <v>Spring</v>
      </c>
      <c r="O159" s="1" t="str">
        <f t="shared" si="9"/>
        <v>40-60</v>
      </c>
      <c r="P159" s="1" t="str">
        <f t="shared" si="10"/>
        <v>Yes</v>
      </c>
      <c r="Q159" s="17" t="str">
        <f t="shared" si="11"/>
        <v>No Code</v>
      </c>
    </row>
    <row r="160" spans="1:17" x14ac:dyDescent="0.25">
      <c r="A160" s="8">
        <v>5297</v>
      </c>
      <c r="B160" s="8" t="s">
        <v>11</v>
      </c>
      <c r="C160" s="8" t="s">
        <v>219</v>
      </c>
      <c r="D160" s="10">
        <v>46033</v>
      </c>
      <c r="E160" s="8" t="s">
        <v>231</v>
      </c>
      <c r="F160" s="8"/>
      <c r="G160" s="1" t="str">
        <f>INDEX(Customers!B:B,MATCH(B160,Customers!A:A,0))</f>
        <v>Daniel White</v>
      </c>
      <c r="H160" s="1" t="str">
        <f>INDEX(Customers!E:E,MATCH(B160,Customers!A:A,0))</f>
        <v>Male</v>
      </c>
      <c r="I160" s="1">
        <f>INDEX(Customers!C:C,MATCH(B160,Customers!A:A,0))</f>
        <v>20</v>
      </c>
      <c r="J160" s="1" t="str">
        <f>INDEX(Customers!D:D,MATCH(B160,Customers!A:A,0))</f>
        <v>Uyo</v>
      </c>
      <c r="K160" s="1" t="str">
        <f>INDEX(Products!B:B,MATCH(C160,Products!A:A,0))</f>
        <v>Accessories</v>
      </c>
      <c r="L160" s="1" t="str">
        <f>INDEX(Products!C:C,MATCH(C160,Products!A:A,0))</f>
        <v>Waist Belt</v>
      </c>
      <c r="M160" s="1">
        <f>INDEX(Products!D:D,MATCH(C160,Products!A:A,0))</f>
        <v>33</v>
      </c>
      <c r="N160" s="1" t="str">
        <f t="shared" si="8"/>
        <v>Winter</v>
      </c>
      <c r="O160" s="1" t="str">
        <f t="shared" si="9"/>
        <v>20-40</v>
      </c>
      <c r="P160" s="1" t="str">
        <f t="shared" si="10"/>
        <v>Yes</v>
      </c>
      <c r="Q160" s="17" t="str">
        <f t="shared" si="11"/>
        <v>No Code</v>
      </c>
    </row>
    <row r="161" spans="1:17" x14ac:dyDescent="0.25">
      <c r="A161" s="8">
        <v>5202</v>
      </c>
      <c r="B161" s="8" t="s">
        <v>115</v>
      </c>
      <c r="C161" s="8" t="s">
        <v>188</v>
      </c>
      <c r="D161" s="10">
        <v>46017</v>
      </c>
      <c r="E161" s="8" t="s">
        <v>233</v>
      </c>
      <c r="F161" s="8" t="s">
        <v>224</v>
      </c>
      <c r="G161" s="1" t="str">
        <f>INDEX(Customers!B:B,MATCH(B161,Customers!A:A,0))</f>
        <v>Fatima Chukwu</v>
      </c>
      <c r="H161" s="1" t="str">
        <f>INDEX(Customers!E:E,MATCH(B161,Customers!A:A,0))</f>
        <v>Female</v>
      </c>
      <c r="I161" s="1">
        <f>INDEX(Customers!C:C,MATCH(B161,Customers!A:A,0))</f>
        <v>34</v>
      </c>
      <c r="J161" s="1" t="str">
        <f>INDEX(Customers!D:D,MATCH(B161,Customers!A:A,0))</f>
        <v>Abuja</v>
      </c>
      <c r="K161" s="1" t="str">
        <f>INDEX(Products!B:B,MATCH(C161,Products!A:A,0))</f>
        <v>Clothing</v>
      </c>
      <c r="L161" s="1" t="str">
        <f>INDEX(Products!C:C,MATCH(C161,Products!A:A,0))</f>
        <v>Linen Trousers</v>
      </c>
      <c r="M161" s="1">
        <f>INDEX(Products!D:D,MATCH(C161,Products!A:A,0))</f>
        <v>47</v>
      </c>
      <c r="N161" s="1" t="str">
        <f t="shared" si="8"/>
        <v>Winter</v>
      </c>
      <c r="O161" s="1" t="str">
        <f t="shared" si="9"/>
        <v>20-40</v>
      </c>
      <c r="P161" s="1" t="str">
        <f t="shared" si="10"/>
        <v>Yes</v>
      </c>
      <c r="Q161" s="17" t="str">
        <f t="shared" si="11"/>
        <v>Used Code</v>
      </c>
    </row>
    <row r="162" spans="1:17" x14ac:dyDescent="0.25">
      <c r="A162" s="8">
        <v>5022</v>
      </c>
      <c r="B162" s="8" t="s">
        <v>3</v>
      </c>
      <c r="C162" s="8" t="s">
        <v>179</v>
      </c>
      <c r="D162" s="10">
        <v>45950</v>
      </c>
      <c r="E162" s="8" t="s">
        <v>231</v>
      </c>
      <c r="F162" s="8"/>
      <c r="G162" s="1" t="str">
        <f>INDEX(Customers!B:B,MATCH(B162,Customers!A:A,0))</f>
        <v>Linda Davis</v>
      </c>
      <c r="H162" s="1" t="str">
        <f>INDEX(Customers!E:E,MATCH(B162,Customers!A:A,0))</f>
        <v>Female</v>
      </c>
      <c r="I162" s="1">
        <f>INDEX(Customers!C:C,MATCH(B162,Customers!A:A,0))</f>
        <v>53</v>
      </c>
      <c r="J162" s="1" t="str">
        <f>INDEX(Customers!D:D,MATCH(B162,Customers!A:A,0))</f>
        <v>Calabar</v>
      </c>
      <c r="K162" s="1" t="str">
        <f>INDEX(Products!B:B,MATCH(C162,Products!A:A,0))</f>
        <v>Clothing</v>
      </c>
      <c r="L162" s="1" t="str">
        <f>INDEX(Products!C:C,MATCH(C162,Products!A:A,0))</f>
        <v>Ankara Dress</v>
      </c>
      <c r="M162" s="1">
        <f>INDEX(Products!D:D,MATCH(C162,Products!A:A,0))</f>
        <v>68</v>
      </c>
      <c r="N162" s="1" t="str">
        <f t="shared" si="8"/>
        <v>Fall</v>
      </c>
      <c r="O162" s="1" t="str">
        <f t="shared" si="9"/>
        <v>40-60</v>
      </c>
      <c r="P162" s="1" t="str">
        <f t="shared" si="10"/>
        <v>No</v>
      </c>
      <c r="Q162" s="17" t="str">
        <f t="shared" si="11"/>
        <v>No Code</v>
      </c>
    </row>
    <row r="163" spans="1:17" x14ac:dyDescent="0.25">
      <c r="A163" s="8">
        <v>5226</v>
      </c>
      <c r="B163" s="8" t="s">
        <v>239</v>
      </c>
      <c r="C163" s="8" t="s">
        <v>198</v>
      </c>
      <c r="D163" s="10">
        <v>46100</v>
      </c>
      <c r="E163" s="8" t="s">
        <v>233</v>
      </c>
      <c r="F163" s="8"/>
      <c r="G163" s="1" t="str">
        <f>INDEX(Customers!B:B,MATCH(B163,Customers!A:A,0))</f>
        <v>Halima Nwosu</v>
      </c>
      <c r="H163" s="1" t="str">
        <f>INDEX(Customers!E:E,MATCH(B163,Customers!A:A,0))</f>
        <v>Female</v>
      </c>
      <c r="I163" s="1">
        <f>INDEX(Customers!C:C,MATCH(B163,Customers!A:A,0))</f>
        <v>21</v>
      </c>
      <c r="J163" s="1" t="str">
        <f>INDEX(Customers!D:D,MATCH(B163,Customers!A:A,0))</f>
        <v>Calabar</v>
      </c>
      <c r="K163" s="1" t="str">
        <f>INDEX(Products!B:B,MATCH(C163,Products!A:A,0))</f>
        <v>Clothing</v>
      </c>
      <c r="L163" s="1" t="str">
        <f>INDEX(Products!C:C,MATCH(C163,Products!A:A,0))</f>
        <v>Knit Sweater</v>
      </c>
      <c r="M163" s="1">
        <f>INDEX(Products!D:D,MATCH(C163,Products!A:A,0))</f>
        <v>58</v>
      </c>
      <c r="N163" s="1" t="str">
        <f t="shared" si="8"/>
        <v>Spring</v>
      </c>
      <c r="O163" s="1" t="str">
        <f t="shared" si="9"/>
        <v>20-40</v>
      </c>
      <c r="P163" s="1" t="str">
        <f t="shared" si="10"/>
        <v>Yes</v>
      </c>
      <c r="Q163" s="17" t="str">
        <f t="shared" si="11"/>
        <v>No Code</v>
      </c>
    </row>
    <row r="164" spans="1:17" x14ac:dyDescent="0.25">
      <c r="A164" s="8">
        <v>5290</v>
      </c>
      <c r="B164" s="8" t="s">
        <v>89</v>
      </c>
      <c r="C164" s="8" t="s">
        <v>184</v>
      </c>
      <c r="D164" s="10">
        <v>45820</v>
      </c>
      <c r="E164" s="8" t="s">
        <v>233</v>
      </c>
      <c r="F164" s="8"/>
      <c r="G164" s="1" t="str">
        <f>INDEX(Customers!B:B,MATCH(B164,Customers!A:A,0))</f>
        <v>Adaeze Eze</v>
      </c>
      <c r="H164" s="1" t="str">
        <f>INDEX(Customers!E:E,MATCH(B164,Customers!A:A,0))</f>
        <v>Female</v>
      </c>
      <c r="I164" s="1">
        <f>INDEX(Customers!C:C,MATCH(B164,Customers!A:A,0))</f>
        <v>22</v>
      </c>
      <c r="J164" s="1" t="str">
        <f>INDEX(Customers!D:D,MATCH(B164,Customers!A:A,0))</f>
        <v>Calabar</v>
      </c>
      <c r="K164" s="1" t="str">
        <f>INDEX(Products!B:B,MATCH(C164,Products!A:A,0))</f>
        <v>Clothing</v>
      </c>
      <c r="L164" s="1" t="str">
        <f>INDEX(Products!C:C,MATCH(C164,Products!A:A,0))</f>
        <v>Silk Blouse</v>
      </c>
      <c r="M164" s="1">
        <f>INDEX(Products!D:D,MATCH(C164,Products!A:A,0))</f>
        <v>54</v>
      </c>
      <c r="N164" s="1" t="str">
        <f t="shared" si="8"/>
        <v>Summer</v>
      </c>
      <c r="O164" s="1" t="str">
        <f t="shared" si="9"/>
        <v>20-40</v>
      </c>
      <c r="P164" s="1" t="str">
        <f t="shared" si="10"/>
        <v>Yes</v>
      </c>
      <c r="Q164" s="17" t="str">
        <f t="shared" si="11"/>
        <v>No Code</v>
      </c>
    </row>
    <row r="165" spans="1:17" x14ac:dyDescent="0.25">
      <c r="A165" s="8">
        <v>5281</v>
      </c>
      <c r="B165" s="8" t="s">
        <v>94</v>
      </c>
      <c r="C165" s="8" t="s">
        <v>205</v>
      </c>
      <c r="D165" s="10">
        <v>46098</v>
      </c>
      <c r="E165" s="8" t="s">
        <v>231</v>
      </c>
      <c r="F165" s="8" t="s">
        <v>224</v>
      </c>
      <c r="G165" s="1" t="str">
        <f>INDEX(Customers!B:B,MATCH(B165,Customers!A:A,0))</f>
        <v>Amara Thomas</v>
      </c>
      <c r="H165" s="1" t="str">
        <f>INDEX(Customers!E:E,MATCH(B165,Customers!A:A,0))</f>
        <v>Female</v>
      </c>
      <c r="I165" s="1">
        <f>INDEX(Customers!C:C,MATCH(B165,Customers!A:A,0))</f>
        <v>39</v>
      </c>
      <c r="J165" s="1" t="str">
        <f>INDEX(Customers!D:D,MATCH(B165,Customers!A:A,0))</f>
        <v>Abeokuta</v>
      </c>
      <c r="K165" s="1" t="str">
        <f>INDEX(Products!B:B,MATCH(C165,Products!A:A,0))</f>
        <v>Accessories</v>
      </c>
      <c r="L165" s="1" t="str">
        <f>INDEX(Products!C:C,MATCH(C165,Products!A:A,0))</f>
        <v>Sunglasses</v>
      </c>
      <c r="M165" s="1">
        <f>INDEX(Products!D:D,MATCH(C165,Products!A:A,0))</f>
        <v>38</v>
      </c>
      <c r="N165" s="1" t="str">
        <f t="shared" si="8"/>
        <v>Spring</v>
      </c>
      <c r="O165" s="1" t="str">
        <f t="shared" si="9"/>
        <v>20-40</v>
      </c>
      <c r="P165" s="1" t="str">
        <f t="shared" si="10"/>
        <v>Yes</v>
      </c>
      <c r="Q165" s="17" t="str">
        <f t="shared" si="11"/>
        <v>Used Code</v>
      </c>
    </row>
    <row r="166" spans="1:17" x14ac:dyDescent="0.25">
      <c r="A166" s="8">
        <v>5184</v>
      </c>
      <c r="B166" s="8" t="s">
        <v>74</v>
      </c>
      <c r="C166" s="8" t="s">
        <v>209</v>
      </c>
      <c r="D166" s="10">
        <v>46104</v>
      </c>
      <c r="E166" s="8" t="s">
        <v>234</v>
      </c>
      <c r="F166" s="8"/>
      <c r="G166" s="1" t="str">
        <f>INDEX(Customers!B:B,MATCH(B166,Customers!A:A,0))</f>
        <v>Emeka Moore</v>
      </c>
      <c r="H166" s="1" t="str">
        <f>INDEX(Customers!E:E,MATCH(B166,Customers!A:A,0))</f>
        <v>Male</v>
      </c>
      <c r="I166" s="1">
        <f>INDEX(Customers!C:C,MATCH(B166,Customers!A:A,0))</f>
        <v>46</v>
      </c>
      <c r="J166" s="1" t="str">
        <f>INDEX(Customers!D:D,MATCH(B166,Customers!A:A,0))</f>
        <v>Warri</v>
      </c>
      <c r="K166" s="1" t="str">
        <f>INDEX(Products!B:B,MATCH(C166,Products!A:A,0))</f>
        <v>Accessories</v>
      </c>
      <c r="L166" s="1" t="str">
        <f>INDEX(Products!C:C,MATCH(C166,Products!A:A,0))</f>
        <v>Tote Bag</v>
      </c>
      <c r="M166" s="1">
        <f>INDEX(Products!D:D,MATCH(C166,Products!A:A,0))</f>
        <v>62</v>
      </c>
      <c r="N166" s="1" t="str">
        <f t="shared" si="8"/>
        <v>Spring</v>
      </c>
      <c r="O166" s="1" t="str">
        <f t="shared" si="9"/>
        <v>40-60</v>
      </c>
      <c r="P166" s="1" t="str">
        <f t="shared" si="10"/>
        <v>Yes</v>
      </c>
      <c r="Q166" s="17" t="str">
        <f t="shared" si="11"/>
        <v>No Code</v>
      </c>
    </row>
    <row r="167" spans="1:17" x14ac:dyDescent="0.25">
      <c r="A167" s="8">
        <v>5044</v>
      </c>
      <c r="B167" s="8" t="s">
        <v>146</v>
      </c>
      <c r="C167" s="8" t="s">
        <v>209</v>
      </c>
      <c r="D167" s="10">
        <v>45908</v>
      </c>
      <c r="E167" s="8" t="s">
        <v>233</v>
      </c>
      <c r="F167" s="8"/>
      <c r="G167" s="1" t="str">
        <f>INDEX(Customers!B:B,MATCH(B167,Customers!A:A,0))</f>
        <v>Chukwudi Uche</v>
      </c>
      <c r="H167" s="1" t="str">
        <f>INDEX(Customers!E:E,MATCH(B167,Customers!A:A,0))</f>
        <v>Male</v>
      </c>
      <c r="I167" s="1">
        <f>INDEX(Customers!C:C,MATCH(B167,Customers!A:A,0))</f>
        <v>55</v>
      </c>
      <c r="J167" s="1" t="str">
        <f>INDEX(Customers!D:D,MATCH(B167,Customers!A:A,0))</f>
        <v>Jos</v>
      </c>
      <c r="K167" s="1" t="str">
        <f>INDEX(Products!B:B,MATCH(C167,Products!A:A,0))</f>
        <v>Accessories</v>
      </c>
      <c r="L167" s="1" t="str">
        <f>INDEX(Products!C:C,MATCH(C167,Products!A:A,0))</f>
        <v>Tote Bag</v>
      </c>
      <c r="M167" s="1">
        <f>INDEX(Products!D:D,MATCH(C167,Products!A:A,0))</f>
        <v>62</v>
      </c>
      <c r="N167" s="1" t="str">
        <f t="shared" si="8"/>
        <v>Fall</v>
      </c>
      <c r="O167" s="1" t="str">
        <f t="shared" si="9"/>
        <v>40-60</v>
      </c>
      <c r="P167" s="1" t="str">
        <f t="shared" si="10"/>
        <v>Yes</v>
      </c>
      <c r="Q167" s="17" t="str">
        <f t="shared" si="11"/>
        <v>No Code</v>
      </c>
    </row>
    <row r="168" spans="1:17" x14ac:dyDescent="0.25">
      <c r="A168" s="8">
        <v>5189</v>
      </c>
      <c r="B168" s="8" t="s">
        <v>106</v>
      </c>
      <c r="C168" s="8" t="s">
        <v>200</v>
      </c>
      <c r="D168" s="10">
        <v>46004</v>
      </c>
      <c r="E168" s="8" t="s">
        <v>352</v>
      </c>
      <c r="F168" s="8" t="s">
        <v>224</v>
      </c>
      <c r="G168" s="1" t="str">
        <f>INDEX(Customers!B:B,MATCH(B168,Customers!A:A,0))</f>
        <v>Grace Johnson</v>
      </c>
      <c r="H168" s="1" t="str">
        <f>INDEX(Customers!E:E,MATCH(B168,Customers!A:A,0))</f>
        <v>Female</v>
      </c>
      <c r="I168" s="1">
        <f>INDEX(Customers!C:C,MATCH(B168,Customers!A:A,0))</f>
        <v>34</v>
      </c>
      <c r="J168" s="1" t="str">
        <f>INDEX(Customers!D:D,MATCH(B168,Customers!A:A,0))</f>
        <v>Kano</v>
      </c>
      <c r="K168" s="1" t="str">
        <f>INDEX(Products!B:B,MATCH(C168,Products!A:A,0))</f>
        <v>Accessories</v>
      </c>
      <c r="L168" s="1" t="str">
        <f>INDEX(Products!C:C,MATCH(C168,Products!A:A,0))</f>
        <v>Beaded Necklace</v>
      </c>
      <c r="M168" s="1">
        <f>INDEX(Products!D:D,MATCH(C168,Products!A:A,0))</f>
        <v>25</v>
      </c>
      <c r="N168" s="1" t="str">
        <f t="shared" si="8"/>
        <v>Winter</v>
      </c>
      <c r="O168" s="1" t="str">
        <f t="shared" si="9"/>
        <v>20-40</v>
      </c>
      <c r="P168" s="1" t="str">
        <f t="shared" si="10"/>
        <v>Yes</v>
      </c>
      <c r="Q168" s="17" t="str">
        <f t="shared" si="11"/>
        <v>Used Code</v>
      </c>
    </row>
    <row r="169" spans="1:17" x14ac:dyDescent="0.25">
      <c r="A169" s="8">
        <v>5279</v>
      </c>
      <c r="B169" s="8" t="s">
        <v>94</v>
      </c>
      <c r="C169" s="8" t="s">
        <v>184</v>
      </c>
      <c r="D169" s="10">
        <v>46100</v>
      </c>
      <c r="E169" s="8" t="s">
        <v>234</v>
      </c>
      <c r="F169" s="8" t="s">
        <v>224</v>
      </c>
      <c r="G169" s="1" t="str">
        <f>INDEX(Customers!B:B,MATCH(B169,Customers!A:A,0))</f>
        <v>Amara Thomas</v>
      </c>
      <c r="H169" s="1" t="str">
        <f>INDEX(Customers!E:E,MATCH(B169,Customers!A:A,0))</f>
        <v>Female</v>
      </c>
      <c r="I169" s="1">
        <f>INDEX(Customers!C:C,MATCH(B169,Customers!A:A,0))</f>
        <v>39</v>
      </c>
      <c r="J169" s="1" t="str">
        <f>INDEX(Customers!D:D,MATCH(B169,Customers!A:A,0))</f>
        <v>Abeokuta</v>
      </c>
      <c r="K169" s="1" t="str">
        <f>INDEX(Products!B:B,MATCH(C169,Products!A:A,0))</f>
        <v>Clothing</v>
      </c>
      <c r="L169" s="1" t="str">
        <f>INDEX(Products!C:C,MATCH(C169,Products!A:A,0))</f>
        <v>Silk Blouse</v>
      </c>
      <c r="M169" s="1">
        <f>INDEX(Products!D:D,MATCH(C169,Products!A:A,0))</f>
        <v>54</v>
      </c>
      <c r="N169" s="1" t="str">
        <f t="shared" si="8"/>
        <v>Spring</v>
      </c>
      <c r="O169" s="1" t="str">
        <f t="shared" si="9"/>
        <v>20-40</v>
      </c>
      <c r="P169" s="1" t="str">
        <f t="shared" si="10"/>
        <v>Yes</v>
      </c>
      <c r="Q169" s="17" t="str">
        <f t="shared" si="11"/>
        <v>Used Code</v>
      </c>
    </row>
    <row r="170" spans="1:17" x14ac:dyDescent="0.25">
      <c r="A170" s="8">
        <v>5111</v>
      </c>
      <c r="B170" s="8" t="s">
        <v>93</v>
      </c>
      <c r="C170" s="8" t="s">
        <v>184</v>
      </c>
      <c r="D170" s="10">
        <v>46022</v>
      </c>
      <c r="E170" s="8" t="s">
        <v>353</v>
      </c>
      <c r="F170" s="8" t="s">
        <v>223</v>
      </c>
      <c r="G170" s="1" t="str">
        <f>INDEX(Customers!B:B,MATCH(B170,Customers!A:A,0))</f>
        <v>Brian Chukwu</v>
      </c>
      <c r="H170" s="1" t="str">
        <f>INDEX(Customers!E:E,MATCH(B170,Customers!A:A,0))</f>
        <v>Male</v>
      </c>
      <c r="I170" s="1">
        <f>INDEX(Customers!C:C,MATCH(B170,Customers!A:A,0))</f>
        <v>40</v>
      </c>
      <c r="J170" s="1" t="str">
        <f>INDEX(Customers!D:D,MATCH(B170,Customers!A:A,0))</f>
        <v>Enugu</v>
      </c>
      <c r="K170" s="1" t="str">
        <f>INDEX(Products!B:B,MATCH(C170,Products!A:A,0))</f>
        <v>Clothing</v>
      </c>
      <c r="L170" s="1" t="str">
        <f>INDEX(Products!C:C,MATCH(C170,Products!A:A,0))</f>
        <v>Silk Blouse</v>
      </c>
      <c r="M170" s="1">
        <f>INDEX(Products!D:D,MATCH(C170,Products!A:A,0))</f>
        <v>54</v>
      </c>
      <c r="N170" s="1" t="str">
        <f t="shared" si="8"/>
        <v>Winter</v>
      </c>
      <c r="O170" s="1" t="str">
        <f t="shared" si="9"/>
        <v>40-60</v>
      </c>
      <c r="P170" s="1" t="str">
        <f t="shared" si="10"/>
        <v>Yes</v>
      </c>
      <c r="Q170" s="17" t="str">
        <f t="shared" si="11"/>
        <v>Used Code</v>
      </c>
    </row>
    <row r="171" spans="1:17" x14ac:dyDescent="0.25">
      <c r="A171" s="8">
        <v>5272</v>
      </c>
      <c r="B171" s="8" t="s">
        <v>45</v>
      </c>
      <c r="C171" s="8" t="s">
        <v>209</v>
      </c>
      <c r="D171" s="10">
        <v>45861</v>
      </c>
      <c r="E171" s="8" t="s">
        <v>352</v>
      </c>
      <c r="F171" s="8"/>
      <c r="G171" s="1" t="str">
        <f>INDEX(Customers!B:B,MATCH(B171,Customers!A:A,0))</f>
        <v>Amara Smith</v>
      </c>
      <c r="H171" s="1" t="str">
        <f>INDEX(Customers!E:E,MATCH(B171,Customers!A:A,0))</f>
        <v>Female</v>
      </c>
      <c r="I171" s="1">
        <f>INDEX(Customers!C:C,MATCH(B171,Customers!A:A,0))</f>
        <v>26</v>
      </c>
      <c r="J171" s="1" t="str">
        <f>INDEX(Customers!D:D,MATCH(B171,Customers!A:A,0))</f>
        <v>Abeokuta</v>
      </c>
      <c r="K171" s="1" t="str">
        <f>INDEX(Products!B:B,MATCH(C171,Products!A:A,0))</f>
        <v>Accessories</v>
      </c>
      <c r="L171" s="1" t="str">
        <f>INDEX(Products!C:C,MATCH(C171,Products!A:A,0))</f>
        <v>Tote Bag</v>
      </c>
      <c r="M171" s="1">
        <f>INDEX(Products!D:D,MATCH(C171,Products!A:A,0))</f>
        <v>62</v>
      </c>
      <c r="N171" s="1" t="str">
        <f t="shared" si="8"/>
        <v>Summer</v>
      </c>
      <c r="O171" s="1" t="str">
        <f t="shared" si="9"/>
        <v>20-40</v>
      </c>
      <c r="P171" s="1" t="str">
        <f t="shared" si="10"/>
        <v>Yes</v>
      </c>
      <c r="Q171" s="17" t="str">
        <f t="shared" si="11"/>
        <v>No Code</v>
      </c>
    </row>
    <row r="172" spans="1:17" x14ac:dyDescent="0.25">
      <c r="A172" s="8">
        <v>5211</v>
      </c>
      <c r="B172" s="8" t="s">
        <v>87</v>
      </c>
      <c r="C172" s="8" t="s">
        <v>186</v>
      </c>
      <c r="D172" s="10">
        <v>45912</v>
      </c>
      <c r="E172" s="8" t="s">
        <v>233</v>
      </c>
      <c r="F172" s="8" t="s">
        <v>225</v>
      </c>
      <c r="G172" s="1" t="str">
        <f>INDEX(Customers!B:B,MATCH(B172,Customers!A:A,0))</f>
        <v>Laura Davis</v>
      </c>
      <c r="H172" s="1" t="str">
        <f>INDEX(Customers!E:E,MATCH(B172,Customers!A:A,0))</f>
        <v>Female</v>
      </c>
      <c r="I172" s="1">
        <f>INDEX(Customers!C:C,MATCH(B172,Customers!A:A,0))</f>
        <v>58</v>
      </c>
      <c r="J172" s="1" t="str">
        <f>INDEX(Customers!D:D,MATCH(B172,Customers!A:A,0))</f>
        <v>Kano</v>
      </c>
      <c r="K172" s="1" t="str">
        <f>INDEX(Products!B:B,MATCH(C172,Products!A:A,0))</f>
        <v>Clothing</v>
      </c>
      <c r="L172" s="1" t="str">
        <f>INDEX(Products!C:C,MATCH(C172,Products!A:A,0))</f>
        <v>Maxi Gown</v>
      </c>
      <c r="M172" s="1">
        <f>INDEX(Products!D:D,MATCH(C172,Products!A:A,0))</f>
        <v>120</v>
      </c>
      <c r="N172" s="1" t="str">
        <f t="shared" si="8"/>
        <v>Fall</v>
      </c>
      <c r="O172" s="1" t="str">
        <f t="shared" si="9"/>
        <v>40-60</v>
      </c>
      <c r="P172" s="1" t="str">
        <f t="shared" si="10"/>
        <v>Yes</v>
      </c>
      <c r="Q172" s="17" t="str">
        <f t="shared" si="11"/>
        <v>Used Code</v>
      </c>
    </row>
    <row r="173" spans="1:17" x14ac:dyDescent="0.25">
      <c r="A173" s="8">
        <v>5221</v>
      </c>
      <c r="B173" s="8" t="s">
        <v>48</v>
      </c>
      <c r="C173" s="8" t="s">
        <v>203</v>
      </c>
      <c r="D173" s="10">
        <v>45895</v>
      </c>
      <c r="E173" s="8" t="s">
        <v>233</v>
      </c>
      <c r="F173" s="8" t="s">
        <v>226</v>
      </c>
      <c r="G173" s="1" t="str">
        <f>INDEX(Customers!B:B,MATCH(B173,Customers!A:A,0))</f>
        <v>Michael Garba</v>
      </c>
      <c r="H173" s="1" t="str">
        <f>INDEX(Customers!E:E,MATCH(B173,Customers!A:A,0))</f>
        <v>Male</v>
      </c>
      <c r="I173" s="1">
        <f>INDEX(Customers!C:C,MATCH(B173,Customers!A:A,0))</f>
        <v>59</v>
      </c>
      <c r="J173" s="1" t="str">
        <f>INDEX(Customers!D:D,MATCH(B173,Customers!A:A,0))</f>
        <v>Unknown</v>
      </c>
      <c r="K173" s="1" t="str">
        <f>INDEX(Products!B:B,MATCH(C173,Products!A:A,0))</f>
        <v>Accessories</v>
      </c>
      <c r="L173" s="1" t="str">
        <f>INDEX(Products!C:C,MATCH(C173,Products!A:A,0))</f>
        <v>Leather Handbag</v>
      </c>
      <c r="M173" s="1">
        <f>INDEX(Products!D:D,MATCH(C173,Products!A:A,0))</f>
        <v>145</v>
      </c>
      <c r="N173" s="1" t="str">
        <f t="shared" si="8"/>
        <v>Summer</v>
      </c>
      <c r="O173" s="1" t="str">
        <f t="shared" si="9"/>
        <v>40-60</v>
      </c>
      <c r="P173" s="1" t="str">
        <f t="shared" si="10"/>
        <v>Yes</v>
      </c>
      <c r="Q173" s="17" t="str">
        <f t="shared" si="11"/>
        <v>Used Code</v>
      </c>
    </row>
    <row r="174" spans="1:17" x14ac:dyDescent="0.25">
      <c r="A174" s="8">
        <v>5157</v>
      </c>
      <c r="B174" s="8" t="s">
        <v>169</v>
      </c>
      <c r="C174" s="8" t="s">
        <v>219</v>
      </c>
      <c r="D174" s="10">
        <v>45833</v>
      </c>
      <c r="E174" s="8" t="s">
        <v>233</v>
      </c>
      <c r="F174" s="8"/>
      <c r="G174" s="1" t="str">
        <f>INDEX(Customers!B:B,MATCH(B174,Customers!A:A,0))</f>
        <v>Nancy Moore</v>
      </c>
      <c r="H174" s="1" t="str">
        <f>INDEX(Customers!E:E,MATCH(B174,Customers!A:A,0))</f>
        <v>Female</v>
      </c>
      <c r="I174" s="1">
        <f>INDEX(Customers!C:C,MATCH(B174,Customers!A:A,0))</f>
        <v>53</v>
      </c>
      <c r="J174" s="1" t="str">
        <f>INDEX(Customers!D:D,MATCH(B174,Customers!A:A,0))</f>
        <v>Lagos</v>
      </c>
      <c r="K174" s="1" t="str">
        <f>INDEX(Products!B:B,MATCH(C174,Products!A:A,0))</f>
        <v>Accessories</v>
      </c>
      <c r="L174" s="1" t="str">
        <f>INDEX(Products!C:C,MATCH(C174,Products!A:A,0))</f>
        <v>Waist Belt</v>
      </c>
      <c r="M174" s="1">
        <f>INDEX(Products!D:D,MATCH(C174,Products!A:A,0))</f>
        <v>33</v>
      </c>
      <c r="N174" s="1" t="str">
        <f t="shared" si="8"/>
        <v>Summer</v>
      </c>
      <c r="O174" s="1" t="str">
        <f t="shared" si="9"/>
        <v>40-60</v>
      </c>
      <c r="P174" s="1" t="str">
        <f t="shared" si="10"/>
        <v>Yes</v>
      </c>
      <c r="Q174" s="17" t="str">
        <f t="shared" si="11"/>
        <v>No Code</v>
      </c>
    </row>
    <row r="175" spans="1:17" x14ac:dyDescent="0.25">
      <c r="A175" s="8">
        <v>5145</v>
      </c>
      <c r="B175" s="8" t="s">
        <v>76</v>
      </c>
      <c r="C175" s="8" t="s">
        <v>205</v>
      </c>
      <c r="D175" s="10">
        <v>45926</v>
      </c>
      <c r="E175" s="8" t="s">
        <v>233</v>
      </c>
      <c r="F175" s="8" t="s">
        <v>224</v>
      </c>
      <c r="G175" s="1" t="str">
        <f>INDEX(Customers!B:B,MATCH(B175,Customers!A:A,0))</f>
        <v>Tunde Smith</v>
      </c>
      <c r="H175" s="1" t="str">
        <f>INDEX(Customers!E:E,MATCH(B175,Customers!A:A,0))</f>
        <v>Male</v>
      </c>
      <c r="I175" s="1">
        <f>INDEX(Customers!C:C,MATCH(B175,Customers!A:A,0))</f>
        <v>40</v>
      </c>
      <c r="J175" s="1" t="str">
        <f>INDEX(Customers!D:D,MATCH(B175,Customers!A:A,0))</f>
        <v>Unknown</v>
      </c>
      <c r="K175" s="1" t="str">
        <f>INDEX(Products!B:B,MATCH(C175,Products!A:A,0))</f>
        <v>Accessories</v>
      </c>
      <c r="L175" s="1" t="str">
        <f>INDEX(Products!C:C,MATCH(C175,Products!A:A,0))</f>
        <v>Sunglasses</v>
      </c>
      <c r="M175" s="1">
        <f>INDEX(Products!D:D,MATCH(C175,Products!A:A,0))</f>
        <v>38</v>
      </c>
      <c r="N175" s="1" t="str">
        <f t="shared" si="8"/>
        <v>Fall</v>
      </c>
      <c r="O175" s="1" t="str">
        <f t="shared" si="9"/>
        <v>40-60</v>
      </c>
      <c r="P175" s="1" t="str">
        <f t="shared" si="10"/>
        <v>Yes</v>
      </c>
      <c r="Q175" s="17" t="str">
        <f t="shared" si="11"/>
        <v>Used Code</v>
      </c>
    </row>
    <row r="176" spans="1:17" x14ac:dyDescent="0.25">
      <c r="A176" s="8">
        <v>5056</v>
      </c>
      <c r="B176" s="8" t="s">
        <v>105</v>
      </c>
      <c r="C176" s="8" t="s">
        <v>207</v>
      </c>
      <c r="D176" s="10">
        <v>46053</v>
      </c>
      <c r="E176" s="8" t="s">
        <v>231</v>
      </c>
      <c r="F176" s="8" t="s">
        <v>225</v>
      </c>
      <c r="G176" s="1" t="str">
        <f>INDEX(Customers!B:B,MATCH(B176,Customers!A:A,0))</f>
        <v>Chinedu Moore</v>
      </c>
      <c r="H176" s="1" t="str">
        <f>INDEX(Customers!E:E,MATCH(B176,Customers!A:A,0))</f>
        <v>Male</v>
      </c>
      <c r="I176" s="1">
        <f>INDEX(Customers!C:C,MATCH(B176,Customers!A:A,0))</f>
        <v>40</v>
      </c>
      <c r="J176" s="1" t="str">
        <f>INDEX(Customers!D:D,MATCH(B176,Customers!A:A,0))</f>
        <v>Port Harcourt</v>
      </c>
      <c r="K176" s="1" t="str">
        <f>INDEX(Products!B:B,MATCH(C176,Products!A:A,0))</f>
        <v>Accessories</v>
      </c>
      <c r="L176" s="1" t="str">
        <f>INDEX(Products!C:C,MATCH(C176,Products!A:A,0))</f>
        <v>Hair Scarf</v>
      </c>
      <c r="M176" s="1">
        <f>INDEX(Products!D:D,MATCH(C176,Products!A:A,0))</f>
        <v>15</v>
      </c>
      <c r="N176" s="1" t="str">
        <f t="shared" si="8"/>
        <v>Winter</v>
      </c>
      <c r="O176" s="1" t="str">
        <f t="shared" si="9"/>
        <v>40-60</v>
      </c>
      <c r="P176" s="1" t="str">
        <f t="shared" si="10"/>
        <v>No</v>
      </c>
      <c r="Q176" s="17" t="str">
        <f t="shared" si="11"/>
        <v>Used Code</v>
      </c>
    </row>
    <row r="177" spans="1:17" x14ac:dyDescent="0.25">
      <c r="A177" s="8">
        <v>5124</v>
      </c>
      <c r="B177" s="8" t="s">
        <v>55</v>
      </c>
      <c r="C177" s="8" t="s">
        <v>182</v>
      </c>
      <c r="D177" s="10">
        <v>45830</v>
      </c>
      <c r="E177" s="8" t="s">
        <v>234</v>
      </c>
      <c r="F177" s="8"/>
      <c r="G177" s="1" t="str">
        <f>INDEX(Customers!B:B,MATCH(B177,Customers!A:A,0))</f>
        <v>Adaeze Thomas</v>
      </c>
      <c r="H177" s="1" t="str">
        <f>INDEX(Customers!E:E,MATCH(B177,Customers!A:A,0))</f>
        <v>Female</v>
      </c>
      <c r="I177" s="1">
        <f>INDEX(Customers!C:C,MATCH(B177,Customers!A:A,0))</f>
        <v>40</v>
      </c>
      <c r="J177" s="1" t="str">
        <f>INDEX(Customers!D:D,MATCH(B177,Customers!A:A,0))</f>
        <v>Jos</v>
      </c>
      <c r="K177" s="1" t="str">
        <f>INDEX(Products!B:B,MATCH(C177,Products!A:A,0))</f>
        <v>Clothing</v>
      </c>
      <c r="L177" s="1" t="str">
        <f>INDEX(Products!C:C,MATCH(C177,Products!A:A,0))</f>
        <v>Denim Jacket</v>
      </c>
      <c r="M177" s="1">
        <f>INDEX(Products!D:D,MATCH(C177,Products!A:A,0))</f>
        <v>95</v>
      </c>
      <c r="N177" s="1" t="str">
        <f t="shared" si="8"/>
        <v>Summer</v>
      </c>
      <c r="O177" s="1" t="str">
        <f t="shared" si="9"/>
        <v>40-60</v>
      </c>
      <c r="P177" s="1" t="str">
        <f t="shared" si="10"/>
        <v>Yes</v>
      </c>
      <c r="Q177" s="17" t="str">
        <f t="shared" si="11"/>
        <v>No Code</v>
      </c>
    </row>
    <row r="178" spans="1:17" x14ac:dyDescent="0.25">
      <c r="A178" s="8">
        <v>5235</v>
      </c>
      <c r="B178" s="8" t="s">
        <v>118</v>
      </c>
      <c r="C178" s="8" t="s">
        <v>205</v>
      </c>
      <c r="D178" s="10">
        <v>46016</v>
      </c>
      <c r="E178" s="8" t="s">
        <v>233</v>
      </c>
      <c r="F178" s="8"/>
      <c r="G178" s="1" t="str">
        <f>INDEX(Customers!B:B,MATCH(B178,Customers!A:A,0))</f>
        <v>Rita Smith</v>
      </c>
      <c r="H178" s="1" t="str">
        <f>INDEX(Customers!E:E,MATCH(B178,Customers!A:A,0))</f>
        <v>Female</v>
      </c>
      <c r="I178" s="1">
        <f>INDEX(Customers!C:C,MATCH(B178,Customers!A:A,0))</f>
        <v>47</v>
      </c>
      <c r="J178" s="1" t="str">
        <f>INDEX(Customers!D:D,MATCH(B178,Customers!A:A,0))</f>
        <v>Port Harcourt</v>
      </c>
      <c r="K178" s="1" t="str">
        <f>INDEX(Products!B:B,MATCH(C178,Products!A:A,0))</f>
        <v>Accessories</v>
      </c>
      <c r="L178" s="1" t="str">
        <f>INDEX(Products!C:C,MATCH(C178,Products!A:A,0))</f>
        <v>Sunglasses</v>
      </c>
      <c r="M178" s="1">
        <f>INDEX(Products!D:D,MATCH(C178,Products!A:A,0))</f>
        <v>38</v>
      </c>
      <c r="N178" s="1" t="str">
        <f t="shared" si="8"/>
        <v>Winter</v>
      </c>
      <c r="O178" s="1" t="str">
        <f t="shared" si="9"/>
        <v>40-60</v>
      </c>
      <c r="P178" s="1" t="str">
        <f t="shared" si="10"/>
        <v>Yes</v>
      </c>
      <c r="Q178" s="17" t="str">
        <f t="shared" si="11"/>
        <v>No Code</v>
      </c>
    </row>
    <row r="179" spans="1:17" x14ac:dyDescent="0.25">
      <c r="A179" s="8">
        <v>5271</v>
      </c>
      <c r="B179" s="8" t="s">
        <v>172</v>
      </c>
      <c r="C179" s="8" t="s">
        <v>203</v>
      </c>
      <c r="D179" s="10">
        <v>45965</v>
      </c>
      <c r="E179" s="8" t="s">
        <v>233</v>
      </c>
      <c r="F179" s="8"/>
      <c r="G179" s="1" t="str">
        <f>INDEX(Customers!B:B,MATCH(B179,Customers!A:A,0))</f>
        <v>Linda Chukwu</v>
      </c>
      <c r="H179" s="1" t="str">
        <f>INDEX(Customers!E:E,MATCH(B179,Customers!A:A,0))</f>
        <v>Female</v>
      </c>
      <c r="I179" s="1">
        <f>INDEX(Customers!C:C,MATCH(B179,Customers!A:A,0))</f>
        <v>59</v>
      </c>
      <c r="J179" s="1" t="str">
        <f>INDEX(Customers!D:D,MATCH(B179,Customers!A:A,0))</f>
        <v>Ibadan</v>
      </c>
      <c r="K179" s="1" t="str">
        <f>INDEX(Products!B:B,MATCH(C179,Products!A:A,0))</f>
        <v>Accessories</v>
      </c>
      <c r="L179" s="1" t="str">
        <f>INDEX(Products!C:C,MATCH(C179,Products!A:A,0))</f>
        <v>Leather Handbag</v>
      </c>
      <c r="M179" s="1">
        <f>INDEX(Products!D:D,MATCH(C179,Products!A:A,0))</f>
        <v>145</v>
      </c>
      <c r="N179" s="1" t="str">
        <f t="shared" si="8"/>
        <v>Fall</v>
      </c>
      <c r="O179" s="1" t="str">
        <f t="shared" si="9"/>
        <v>40-60</v>
      </c>
      <c r="P179" s="1" t="str">
        <f t="shared" si="10"/>
        <v>Yes</v>
      </c>
      <c r="Q179" s="17" t="str">
        <f t="shared" si="11"/>
        <v>No Code</v>
      </c>
    </row>
    <row r="180" spans="1:17" x14ac:dyDescent="0.25">
      <c r="A180" s="8">
        <v>5019</v>
      </c>
      <c r="B180" s="8" t="s">
        <v>5</v>
      </c>
      <c r="C180" s="8" t="s">
        <v>217</v>
      </c>
      <c r="D180" s="10">
        <v>46165</v>
      </c>
      <c r="E180" s="8" t="s">
        <v>353</v>
      </c>
      <c r="F180" s="8" t="s">
        <v>226</v>
      </c>
      <c r="G180" s="1" t="str">
        <f>INDEX(Customers!B:B,MATCH(B180,Customers!A:A,0))</f>
        <v>Rita Abubakar</v>
      </c>
      <c r="H180" s="1" t="str">
        <f>INDEX(Customers!E:E,MATCH(B180,Customers!A:A,0))</f>
        <v>Female</v>
      </c>
      <c r="I180" s="1">
        <f>INDEX(Customers!C:C,MATCH(B180,Customers!A:A,0))</f>
        <v>27</v>
      </c>
      <c r="J180" s="1" t="str">
        <f>INDEX(Customers!D:D,MATCH(B180,Customers!A:A,0))</f>
        <v>Owerri</v>
      </c>
      <c r="K180" s="1" t="str">
        <f>INDEX(Products!B:B,MATCH(C180,Products!A:A,0))</f>
        <v>Accessories</v>
      </c>
      <c r="L180" s="1" t="str">
        <f>INDEX(Products!C:C,MATCH(C180,Products!A:A,0))</f>
        <v>Earrings</v>
      </c>
      <c r="M180" s="1">
        <f>INDEX(Products!D:D,MATCH(C180,Products!A:A,0))</f>
        <v>19</v>
      </c>
      <c r="N180" s="1" t="str">
        <f t="shared" si="8"/>
        <v>Spring</v>
      </c>
      <c r="O180" s="1" t="str">
        <f t="shared" si="9"/>
        <v>20-40</v>
      </c>
      <c r="P180" s="1" t="str">
        <f t="shared" si="10"/>
        <v>Yes</v>
      </c>
      <c r="Q180" s="17" t="str">
        <f t="shared" si="11"/>
        <v>Used Code</v>
      </c>
    </row>
    <row r="181" spans="1:17" x14ac:dyDescent="0.25">
      <c r="A181" s="8">
        <v>5015</v>
      </c>
      <c r="B181" s="8" t="s">
        <v>38</v>
      </c>
      <c r="C181" s="8" t="s">
        <v>182</v>
      </c>
      <c r="D181" s="10">
        <v>45906</v>
      </c>
      <c r="E181" s="8" t="s">
        <v>353</v>
      </c>
      <c r="F181" s="8"/>
      <c r="G181" s="1" t="str">
        <f>INDEX(Customers!B:B,MATCH(B181,Customers!A:A,0))</f>
        <v>Linda Smith</v>
      </c>
      <c r="H181" s="1" t="str">
        <f>INDEX(Customers!E:E,MATCH(B181,Customers!A:A,0))</f>
        <v>Female</v>
      </c>
      <c r="I181" s="1">
        <f>INDEX(Customers!C:C,MATCH(B181,Customers!A:A,0))</f>
        <v>54</v>
      </c>
      <c r="J181" s="1" t="str">
        <f>INDEX(Customers!D:D,MATCH(B181,Customers!A:A,0))</f>
        <v>Uyo</v>
      </c>
      <c r="K181" s="1" t="str">
        <f>INDEX(Products!B:B,MATCH(C181,Products!A:A,0))</f>
        <v>Clothing</v>
      </c>
      <c r="L181" s="1" t="str">
        <f>INDEX(Products!C:C,MATCH(C181,Products!A:A,0))</f>
        <v>Denim Jacket</v>
      </c>
      <c r="M181" s="1">
        <f>INDEX(Products!D:D,MATCH(C181,Products!A:A,0))</f>
        <v>95</v>
      </c>
      <c r="N181" s="1" t="str">
        <f t="shared" si="8"/>
        <v>Fall</v>
      </c>
      <c r="O181" s="1" t="str">
        <f t="shared" si="9"/>
        <v>40-60</v>
      </c>
      <c r="P181" s="1" t="str">
        <f t="shared" si="10"/>
        <v>Yes</v>
      </c>
      <c r="Q181" s="17" t="str">
        <f t="shared" si="11"/>
        <v>No Code</v>
      </c>
    </row>
    <row r="182" spans="1:17" x14ac:dyDescent="0.25">
      <c r="A182" s="8">
        <v>5209</v>
      </c>
      <c r="B182" s="8" t="s">
        <v>87</v>
      </c>
      <c r="C182" s="8" t="s">
        <v>211</v>
      </c>
      <c r="D182" s="10">
        <v>45901</v>
      </c>
      <c r="E182" s="8" t="s">
        <v>234</v>
      </c>
      <c r="F182" s="8"/>
      <c r="G182" s="1" t="str">
        <f>INDEX(Customers!B:B,MATCH(B182,Customers!A:A,0))</f>
        <v>Laura Davis</v>
      </c>
      <c r="H182" s="1" t="str">
        <f>INDEX(Customers!E:E,MATCH(B182,Customers!A:A,0))</f>
        <v>Female</v>
      </c>
      <c r="I182" s="1">
        <f>INDEX(Customers!C:C,MATCH(B182,Customers!A:A,0))</f>
        <v>58</v>
      </c>
      <c r="J182" s="1" t="str">
        <f>INDEX(Customers!D:D,MATCH(B182,Customers!A:A,0))</f>
        <v>Kano</v>
      </c>
      <c r="K182" s="1" t="str">
        <f>INDEX(Products!B:B,MATCH(C182,Products!A:A,0))</f>
        <v>Accessories</v>
      </c>
      <c r="L182" s="1" t="str">
        <f>INDEX(Products!C:C,MATCH(C182,Products!A:A,0))</f>
        <v>Bangle Set</v>
      </c>
      <c r="M182" s="1">
        <f>INDEX(Products!D:D,MATCH(C182,Products!A:A,0))</f>
        <v>22</v>
      </c>
      <c r="N182" s="1" t="str">
        <f t="shared" si="8"/>
        <v>Fall</v>
      </c>
      <c r="O182" s="1" t="str">
        <f t="shared" si="9"/>
        <v>40-60</v>
      </c>
      <c r="P182" s="1" t="str">
        <f t="shared" si="10"/>
        <v>Yes</v>
      </c>
      <c r="Q182" s="17" t="str">
        <f t="shared" si="11"/>
        <v>No Code</v>
      </c>
    </row>
    <row r="183" spans="1:17" x14ac:dyDescent="0.25">
      <c r="A183" s="8">
        <v>5087</v>
      </c>
      <c r="B183" s="8" t="s">
        <v>242</v>
      </c>
      <c r="C183" s="8" t="s">
        <v>182</v>
      </c>
      <c r="D183" s="10">
        <v>46131</v>
      </c>
      <c r="E183" s="8" t="s">
        <v>233</v>
      </c>
      <c r="F183" s="8"/>
      <c r="G183" s="1" t="str">
        <f>INDEX(Customers!B:B,MATCH(B183,Customers!A:A,0))</f>
        <v>Angela Wilson</v>
      </c>
      <c r="H183" s="1" t="str">
        <f>INDEX(Customers!E:E,MATCH(B183,Customers!A:A,0))</f>
        <v>Female</v>
      </c>
      <c r="I183" s="1">
        <f>INDEX(Customers!C:C,MATCH(B183,Customers!A:A,0))</f>
        <v>27</v>
      </c>
      <c r="J183" s="1" t="str">
        <f>INDEX(Customers!D:D,MATCH(B183,Customers!A:A,0))</f>
        <v>Abeokuta</v>
      </c>
      <c r="K183" s="1" t="str">
        <f>INDEX(Products!B:B,MATCH(C183,Products!A:A,0))</f>
        <v>Clothing</v>
      </c>
      <c r="L183" s="1" t="str">
        <f>INDEX(Products!C:C,MATCH(C183,Products!A:A,0))</f>
        <v>Denim Jacket</v>
      </c>
      <c r="M183" s="1">
        <f>INDEX(Products!D:D,MATCH(C183,Products!A:A,0))</f>
        <v>95</v>
      </c>
      <c r="N183" s="1" t="str">
        <f t="shared" si="8"/>
        <v>Spring</v>
      </c>
      <c r="O183" s="1" t="str">
        <f t="shared" si="9"/>
        <v>20-40</v>
      </c>
      <c r="P183" s="1" t="str">
        <f t="shared" si="10"/>
        <v>No</v>
      </c>
      <c r="Q183" s="17" t="str">
        <f t="shared" si="11"/>
        <v>No Code</v>
      </c>
    </row>
    <row r="184" spans="1:17" x14ac:dyDescent="0.25">
      <c r="A184" s="8">
        <v>5230</v>
      </c>
      <c r="B184" s="8" t="s">
        <v>141</v>
      </c>
      <c r="C184" s="8" t="s">
        <v>184</v>
      </c>
      <c r="D184" s="10">
        <v>45810</v>
      </c>
      <c r="E184" s="8" t="s">
        <v>353</v>
      </c>
      <c r="F184" s="8"/>
      <c r="G184" s="1" t="str">
        <f>INDEX(Customers!B:B,MATCH(B184,Customers!A:A,0))</f>
        <v>Steven Williams</v>
      </c>
      <c r="H184" s="1" t="str">
        <f>INDEX(Customers!E:E,MATCH(B184,Customers!A:A,0))</f>
        <v>Male</v>
      </c>
      <c r="I184" s="1">
        <f>INDEX(Customers!C:C,MATCH(B184,Customers!A:A,0))</f>
        <v>21</v>
      </c>
      <c r="J184" s="1" t="str">
        <f>INDEX(Customers!D:D,MATCH(B184,Customers!A:A,0))</f>
        <v>Unknown</v>
      </c>
      <c r="K184" s="1" t="str">
        <f>INDEX(Products!B:B,MATCH(C184,Products!A:A,0))</f>
        <v>Clothing</v>
      </c>
      <c r="L184" s="1" t="str">
        <f>INDEX(Products!C:C,MATCH(C184,Products!A:A,0))</f>
        <v>Silk Blouse</v>
      </c>
      <c r="M184" s="1">
        <f>INDEX(Products!D:D,MATCH(C184,Products!A:A,0))</f>
        <v>54</v>
      </c>
      <c r="N184" s="1" t="str">
        <f t="shared" si="8"/>
        <v>Summer</v>
      </c>
      <c r="O184" s="1" t="str">
        <f t="shared" si="9"/>
        <v>20-40</v>
      </c>
      <c r="P184" s="1" t="str">
        <f t="shared" si="10"/>
        <v>Yes</v>
      </c>
      <c r="Q184" s="17" t="str">
        <f t="shared" si="11"/>
        <v>No Code</v>
      </c>
    </row>
    <row r="185" spans="1:17" x14ac:dyDescent="0.25">
      <c r="A185" s="8">
        <v>5220</v>
      </c>
      <c r="B185" s="8" t="s">
        <v>48</v>
      </c>
      <c r="C185" s="8" t="s">
        <v>207</v>
      </c>
      <c r="D185" s="10">
        <v>46140</v>
      </c>
      <c r="E185" s="8" t="s">
        <v>231</v>
      </c>
      <c r="F185" s="8"/>
      <c r="G185" s="1" t="str">
        <f>INDEX(Customers!B:B,MATCH(B185,Customers!A:A,0))</f>
        <v>Michael Garba</v>
      </c>
      <c r="H185" s="1" t="str">
        <f>INDEX(Customers!E:E,MATCH(B185,Customers!A:A,0))</f>
        <v>Male</v>
      </c>
      <c r="I185" s="1">
        <f>INDEX(Customers!C:C,MATCH(B185,Customers!A:A,0))</f>
        <v>59</v>
      </c>
      <c r="J185" s="1" t="str">
        <f>INDEX(Customers!D:D,MATCH(B185,Customers!A:A,0))</f>
        <v>Unknown</v>
      </c>
      <c r="K185" s="1" t="str">
        <f>INDEX(Products!B:B,MATCH(C185,Products!A:A,0))</f>
        <v>Accessories</v>
      </c>
      <c r="L185" s="1" t="str">
        <f>INDEX(Products!C:C,MATCH(C185,Products!A:A,0))</f>
        <v>Hair Scarf</v>
      </c>
      <c r="M185" s="1">
        <f>INDEX(Products!D:D,MATCH(C185,Products!A:A,0))</f>
        <v>15</v>
      </c>
      <c r="N185" s="1" t="str">
        <f t="shared" si="8"/>
        <v>Spring</v>
      </c>
      <c r="O185" s="1" t="str">
        <f t="shared" si="9"/>
        <v>40-60</v>
      </c>
      <c r="P185" s="1" t="str">
        <f t="shared" si="10"/>
        <v>Yes</v>
      </c>
      <c r="Q185" s="17" t="str">
        <f t="shared" si="11"/>
        <v>No Code</v>
      </c>
    </row>
    <row r="186" spans="1:17" x14ac:dyDescent="0.25">
      <c r="A186" s="8">
        <v>5114</v>
      </c>
      <c r="B186" s="8" t="s">
        <v>139</v>
      </c>
      <c r="C186" s="8" t="s">
        <v>190</v>
      </c>
      <c r="D186" s="10">
        <v>45669</v>
      </c>
      <c r="E186" s="8" t="s">
        <v>352</v>
      </c>
      <c r="F186" s="8" t="s">
        <v>225</v>
      </c>
      <c r="G186" s="1" t="str">
        <f>INDEX(Customers!B:B,MATCH(B186,Customers!A:A,0))</f>
        <v>Aisha Bello</v>
      </c>
      <c r="H186" s="1" t="str">
        <f>INDEX(Customers!E:E,MATCH(B186,Customers!A:A,0))</f>
        <v>Female</v>
      </c>
      <c r="I186" s="1">
        <f>INDEX(Customers!C:C,MATCH(B186,Customers!A:A,0))</f>
        <v>32</v>
      </c>
      <c r="J186" s="1" t="str">
        <f>INDEX(Customers!D:D,MATCH(B186,Customers!A:A,0))</f>
        <v>Kaduna</v>
      </c>
      <c r="K186" s="1" t="str">
        <f>INDEX(Products!B:B,MATCH(C186,Products!A:A,0))</f>
        <v>Clothing</v>
      </c>
      <c r="L186" s="1" t="str">
        <f>INDEX(Products!C:C,MATCH(C186,Products!A:A,0))</f>
        <v>Kaftan</v>
      </c>
      <c r="M186" s="1">
        <f>INDEX(Products!D:D,MATCH(C186,Products!A:A,0))</f>
        <v>89</v>
      </c>
      <c r="N186" s="1" t="str">
        <f t="shared" si="8"/>
        <v>Winter</v>
      </c>
      <c r="O186" s="1" t="str">
        <f t="shared" si="9"/>
        <v>20-40</v>
      </c>
      <c r="P186" s="1" t="str">
        <f t="shared" si="10"/>
        <v>Yes</v>
      </c>
      <c r="Q186" s="17" t="str">
        <f t="shared" si="11"/>
        <v>Used Code</v>
      </c>
    </row>
    <row r="187" spans="1:17" x14ac:dyDescent="0.25">
      <c r="A187" s="8">
        <v>5278</v>
      </c>
      <c r="B187" s="8" t="s">
        <v>94</v>
      </c>
      <c r="C187" s="8" t="s">
        <v>205</v>
      </c>
      <c r="D187" s="10">
        <v>45862</v>
      </c>
      <c r="E187" s="8" t="s">
        <v>234</v>
      </c>
      <c r="F187" s="8"/>
      <c r="G187" s="1" t="str">
        <f>INDEX(Customers!B:B,MATCH(B187,Customers!A:A,0))</f>
        <v>Amara Thomas</v>
      </c>
      <c r="H187" s="1" t="str">
        <f>INDEX(Customers!E:E,MATCH(B187,Customers!A:A,0))</f>
        <v>Female</v>
      </c>
      <c r="I187" s="1">
        <f>INDEX(Customers!C:C,MATCH(B187,Customers!A:A,0))</f>
        <v>39</v>
      </c>
      <c r="J187" s="1" t="str">
        <f>INDEX(Customers!D:D,MATCH(B187,Customers!A:A,0))</f>
        <v>Abeokuta</v>
      </c>
      <c r="K187" s="1" t="str">
        <f>INDEX(Products!B:B,MATCH(C187,Products!A:A,0))</f>
        <v>Accessories</v>
      </c>
      <c r="L187" s="1" t="str">
        <f>INDEX(Products!C:C,MATCH(C187,Products!A:A,0))</f>
        <v>Sunglasses</v>
      </c>
      <c r="M187" s="1">
        <f>INDEX(Products!D:D,MATCH(C187,Products!A:A,0))</f>
        <v>38</v>
      </c>
      <c r="N187" s="1" t="str">
        <f t="shared" si="8"/>
        <v>Summer</v>
      </c>
      <c r="O187" s="1" t="str">
        <f t="shared" si="9"/>
        <v>20-40</v>
      </c>
      <c r="P187" s="1" t="str">
        <f t="shared" si="10"/>
        <v>Yes</v>
      </c>
      <c r="Q187" s="17" t="str">
        <f t="shared" si="11"/>
        <v>No Code</v>
      </c>
    </row>
    <row r="188" spans="1:17" x14ac:dyDescent="0.25">
      <c r="A188" s="8">
        <v>5069</v>
      </c>
      <c r="B188" s="8" t="s">
        <v>54</v>
      </c>
      <c r="C188" s="8" t="s">
        <v>182</v>
      </c>
      <c r="D188" s="10">
        <v>46113</v>
      </c>
      <c r="E188" s="8" t="s">
        <v>352</v>
      </c>
      <c r="F188" s="8"/>
      <c r="G188" s="1" t="str">
        <f>INDEX(Customers!B:B,MATCH(B188,Customers!A:A,0))</f>
        <v>Aisha Garba</v>
      </c>
      <c r="H188" s="1" t="str">
        <f>INDEX(Customers!E:E,MATCH(B188,Customers!A:A,0))</f>
        <v>Female</v>
      </c>
      <c r="I188" s="1">
        <f>INDEX(Customers!C:C,MATCH(B188,Customers!A:A,0))</f>
        <v>32</v>
      </c>
      <c r="J188" s="1" t="str">
        <f>INDEX(Customers!D:D,MATCH(B188,Customers!A:A,0))</f>
        <v>Lagos</v>
      </c>
      <c r="K188" s="1" t="str">
        <f>INDEX(Products!B:B,MATCH(C188,Products!A:A,0))</f>
        <v>Clothing</v>
      </c>
      <c r="L188" s="1" t="str">
        <f>INDEX(Products!C:C,MATCH(C188,Products!A:A,0))</f>
        <v>Denim Jacket</v>
      </c>
      <c r="M188" s="1">
        <f>INDEX(Products!D:D,MATCH(C188,Products!A:A,0))</f>
        <v>95</v>
      </c>
      <c r="N188" s="1" t="str">
        <f t="shared" si="8"/>
        <v>Spring</v>
      </c>
      <c r="O188" s="1" t="str">
        <f t="shared" si="9"/>
        <v>20-40</v>
      </c>
      <c r="P188" s="1" t="str">
        <f t="shared" si="10"/>
        <v>Yes</v>
      </c>
      <c r="Q188" s="17" t="str">
        <f t="shared" si="11"/>
        <v>No Code</v>
      </c>
    </row>
    <row r="189" spans="1:17" x14ac:dyDescent="0.25">
      <c r="A189" s="8">
        <v>5018</v>
      </c>
      <c r="B189" s="8" t="s">
        <v>5</v>
      </c>
      <c r="C189" s="8" t="s">
        <v>190</v>
      </c>
      <c r="D189" s="10">
        <v>46054</v>
      </c>
      <c r="E189" s="8" t="s">
        <v>233</v>
      </c>
      <c r="F189" s="8" t="s">
        <v>223</v>
      </c>
      <c r="G189" s="1" t="str">
        <f>INDEX(Customers!B:B,MATCH(B189,Customers!A:A,0))</f>
        <v>Rita Abubakar</v>
      </c>
      <c r="H189" s="1" t="str">
        <f>INDEX(Customers!E:E,MATCH(B189,Customers!A:A,0))</f>
        <v>Female</v>
      </c>
      <c r="I189" s="1">
        <f>INDEX(Customers!C:C,MATCH(B189,Customers!A:A,0))</f>
        <v>27</v>
      </c>
      <c r="J189" s="1" t="str">
        <f>INDEX(Customers!D:D,MATCH(B189,Customers!A:A,0))</f>
        <v>Owerri</v>
      </c>
      <c r="K189" s="1" t="str">
        <f>INDEX(Products!B:B,MATCH(C189,Products!A:A,0))</f>
        <v>Clothing</v>
      </c>
      <c r="L189" s="1" t="str">
        <f>INDEX(Products!C:C,MATCH(C189,Products!A:A,0))</f>
        <v>Kaftan</v>
      </c>
      <c r="M189" s="1">
        <f>INDEX(Products!D:D,MATCH(C189,Products!A:A,0))</f>
        <v>89</v>
      </c>
      <c r="N189" s="1" t="str">
        <f t="shared" si="8"/>
        <v>Winter</v>
      </c>
      <c r="O189" s="1" t="str">
        <f t="shared" si="9"/>
        <v>20-40</v>
      </c>
      <c r="P189" s="1" t="str">
        <f t="shared" si="10"/>
        <v>Yes</v>
      </c>
      <c r="Q189" s="17" t="str">
        <f t="shared" si="11"/>
        <v>Used Code</v>
      </c>
    </row>
    <row r="190" spans="1:17" x14ac:dyDescent="0.25">
      <c r="A190" s="8">
        <v>5298</v>
      </c>
      <c r="B190" s="8" t="s">
        <v>147</v>
      </c>
      <c r="C190" s="8" t="s">
        <v>192</v>
      </c>
      <c r="D190" s="10">
        <v>46137</v>
      </c>
      <c r="E190" s="8" t="s">
        <v>352</v>
      </c>
      <c r="F190" s="8"/>
      <c r="G190" s="1" t="str">
        <f>INDEX(Customers!B:B,MATCH(B190,Customers!A:A,0))</f>
        <v>Fatima Okoro</v>
      </c>
      <c r="H190" s="1" t="str">
        <f>INDEX(Customers!E:E,MATCH(B190,Customers!A:A,0))</f>
        <v>Female</v>
      </c>
      <c r="I190" s="1">
        <f>INDEX(Customers!C:C,MATCH(B190,Customers!A:A,0))</f>
        <v>27</v>
      </c>
      <c r="J190" s="1" t="str">
        <f>INDEX(Customers!D:D,MATCH(B190,Customers!A:A,0))</f>
        <v>Enugu</v>
      </c>
      <c r="K190" s="1" t="str">
        <f>INDEX(Products!B:B,MATCH(C190,Products!A:A,0))</f>
        <v>Clothing</v>
      </c>
      <c r="L190" s="1" t="str">
        <f>INDEX(Products!C:C,MATCH(C190,Products!A:A,0))</f>
        <v>Blazer</v>
      </c>
      <c r="M190" s="1">
        <f>INDEX(Products!D:D,MATCH(C190,Products!A:A,0))</f>
        <v>135</v>
      </c>
      <c r="N190" s="1" t="str">
        <f t="shared" si="8"/>
        <v>Spring</v>
      </c>
      <c r="O190" s="1" t="str">
        <f t="shared" si="9"/>
        <v>20-40</v>
      </c>
      <c r="P190" s="1" t="str">
        <f t="shared" si="10"/>
        <v>No</v>
      </c>
      <c r="Q190" s="17" t="str">
        <f t="shared" si="11"/>
        <v>No Code</v>
      </c>
    </row>
    <row r="191" spans="1:17" x14ac:dyDescent="0.25">
      <c r="A191" s="8">
        <v>5293</v>
      </c>
      <c r="B191" s="8" t="s">
        <v>117</v>
      </c>
      <c r="C191" s="8" t="s">
        <v>194</v>
      </c>
      <c r="D191" s="10">
        <v>45815</v>
      </c>
      <c r="E191" s="8" t="s">
        <v>353</v>
      </c>
      <c r="F191" s="8" t="s">
        <v>225</v>
      </c>
      <c r="G191" s="1" t="str">
        <f>INDEX(Customers!B:B,MATCH(B191,Customers!A:A,0))</f>
        <v>Paul Aliyu</v>
      </c>
      <c r="H191" s="1" t="str">
        <f>INDEX(Customers!E:E,MATCH(B191,Customers!A:A,0))</f>
        <v>Male</v>
      </c>
      <c r="I191" s="1">
        <f>INDEX(Customers!C:C,MATCH(B191,Customers!A:A,0))</f>
        <v>42</v>
      </c>
      <c r="J191" s="1" t="str">
        <f>INDEX(Customers!D:D,MATCH(B191,Customers!A:A,0))</f>
        <v>Abuja</v>
      </c>
      <c r="K191" s="1" t="str">
        <f>INDEX(Products!B:B,MATCH(C191,Products!A:A,0))</f>
        <v>Clothing</v>
      </c>
      <c r="L191" s="1" t="str">
        <f>INDEX(Products!C:C,MATCH(C191,Products!A:A,0))</f>
        <v>Jumpsuit</v>
      </c>
      <c r="M191" s="1">
        <f>INDEX(Products!D:D,MATCH(C191,Products!A:A,0))</f>
        <v>76</v>
      </c>
      <c r="N191" s="1" t="str">
        <f t="shared" si="8"/>
        <v>Summer</v>
      </c>
      <c r="O191" s="1" t="str">
        <f t="shared" si="9"/>
        <v>40-60</v>
      </c>
      <c r="P191" s="1" t="str">
        <f t="shared" si="10"/>
        <v>No</v>
      </c>
      <c r="Q191" s="17" t="str">
        <f t="shared" si="11"/>
        <v>Used Code</v>
      </c>
    </row>
    <row r="192" spans="1:17" x14ac:dyDescent="0.25">
      <c r="A192" s="8">
        <v>5214</v>
      </c>
      <c r="B192" s="8" t="s">
        <v>41</v>
      </c>
      <c r="C192" s="8" t="s">
        <v>194</v>
      </c>
      <c r="D192" s="10">
        <v>46058</v>
      </c>
      <c r="E192" s="8" t="s">
        <v>233</v>
      </c>
      <c r="F192" s="8"/>
      <c r="G192" s="1" t="str">
        <f>INDEX(Customers!B:B,MATCH(B192,Customers!A:A,0))</f>
        <v>Rita Moore</v>
      </c>
      <c r="H192" s="1" t="str">
        <f>INDEX(Customers!E:E,MATCH(B192,Customers!A:A,0))</f>
        <v>Female</v>
      </c>
      <c r="I192" s="1">
        <f>INDEX(Customers!C:C,MATCH(B192,Customers!A:A,0))</f>
        <v>50</v>
      </c>
      <c r="J192" s="1" t="str">
        <f>INDEX(Customers!D:D,MATCH(B192,Customers!A:A,0))</f>
        <v>Abeokuta</v>
      </c>
      <c r="K192" s="1" t="str">
        <f>INDEX(Products!B:B,MATCH(C192,Products!A:A,0))</f>
        <v>Clothing</v>
      </c>
      <c r="L192" s="1" t="str">
        <f>INDEX(Products!C:C,MATCH(C192,Products!A:A,0))</f>
        <v>Jumpsuit</v>
      </c>
      <c r="M192" s="1">
        <f>INDEX(Products!D:D,MATCH(C192,Products!A:A,0))</f>
        <v>76</v>
      </c>
      <c r="N192" s="1" t="str">
        <f t="shared" si="8"/>
        <v>Winter</v>
      </c>
      <c r="O192" s="1" t="str">
        <f t="shared" si="9"/>
        <v>40-60</v>
      </c>
      <c r="P192" s="1" t="str">
        <f t="shared" si="10"/>
        <v>Yes</v>
      </c>
      <c r="Q192" s="17" t="str">
        <f t="shared" si="11"/>
        <v>No Code</v>
      </c>
    </row>
    <row r="193" spans="1:17" x14ac:dyDescent="0.25">
      <c r="A193" s="8">
        <v>5110</v>
      </c>
      <c r="B193" s="8" t="s">
        <v>109</v>
      </c>
      <c r="C193" s="8" t="s">
        <v>198</v>
      </c>
      <c r="D193" s="10">
        <v>45830</v>
      </c>
      <c r="E193" s="8" t="s">
        <v>233</v>
      </c>
      <c r="F193" s="8"/>
      <c r="G193" s="1" t="str">
        <f>INDEX(Customers!B:B,MATCH(B193,Customers!A:A,0))</f>
        <v>Paul Eze</v>
      </c>
      <c r="H193" s="1" t="str">
        <f>INDEX(Customers!E:E,MATCH(B193,Customers!A:A,0))</f>
        <v>Male</v>
      </c>
      <c r="I193" s="1">
        <f>INDEX(Customers!C:C,MATCH(B193,Customers!A:A,0))</f>
        <v>30</v>
      </c>
      <c r="J193" s="1" t="str">
        <f>INDEX(Customers!D:D,MATCH(B193,Customers!A:A,0))</f>
        <v>Warri</v>
      </c>
      <c r="K193" s="1" t="str">
        <f>INDEX(Products!B:B,MATCH(C193,Products!A:A,0))</f>
        <v>Clothing</v>
      </c>
      <c r="L193" s="1" t="str">
        <f>INDEX(Products!C:C,MATCH(C193,Products!A:A,0))</f>
        <v>Knit Sweater</v>
      </c>
      <c r="M193" s="1">
        <f>INDEX(Products!D:D,MATCH(C193,Products!A:A,0))</f>
        <v>58</v>
      </c>
      <c r="N193" s="1" t="str">
        <f t="shared" si="8"/>
        <v>Summer</v>
      </c>
      <c r="O193" s="1" t="str">
        <f t="shared" si="9"/>
        <v>20-40</v>
      </c>
      <c r="P193" s="1" t="str">
        <f t="shared" si="10"/>
        <v>No</v>
      </c>
      <c r="Q193" s="17" t="str">
        <f t="shared" si="11"/>
        <v>No Code</v>
      </c>
    </row>
    <row r="194" spans="1:17" x14ac:dyDescent="0.25">
      <c r="A194" s="8">
        <v>5060</v>
      </c>
      <c r="B194" s="8" t="s">
        <v>129</v>
      </c>
      <c r="C194" s="8" t="s">
        <v>192</v>
      </c>
      <c r="D194" s="10">
        <v>46001</v>
      </c>
      <c r="E194" s="8" t="s">
        <v>234</v>
      </c>
      <c r="F194" s="8"/>
      <c r="G194" s="1" t="str">
        <f>INDEX(Customers!B:B,MATCH(B194,Customers!A:A,0))</f>
        <v>Paul Johnson</v>
      </c>
      <c r="H194" s="1" t="str">
        <f>INDEX(Customers!E:E,MATCH(B194,Customers!A:A,0))</f>
        <v>Male</v>
      </c>
      <c r="I194" s="1">
        <f>INDEX(Customers!C:C,MATCH(B194,Customers!A:A,0))</f>
        <v>28</v>
      </c>
      <c r="J194" s="1" t="str">
        <f>INDEX(Customers!D:D,MATCH(B194,Customers!A:A,0))</f>
        <v>Kaduna</v>
      </c>
      <c r="K194" s="1" t="str">
        <f>INDEX(Products!B:B,MATCH(C194,Products!A:A,0))</f>
        <v>Clothing</v>
      </c>
      <c r="L194" s="1" t="str">
        <f>INDEX(Products!C:C,MATCH(C194,Products!A:A,0))</f>
        <v>Blazer</v>
      </c>
      <c r="M194" s="1">
        <f>INDEX(Products!D:D,MATCH(C194,Products!A:A,0))</f>
        <v>135</v>
      </c>
      <c r="N194" s="1" t="str">
        <f t="shared" ref="N194:N257" si="12">CHOOSE(MONTH(D194),"Winter","Winter","Spring","Spring","Spring","Summer","Summer","Summer","Fall","Fall","Fall","Winter")</f>
        <v>Winter</v>
      </c>
      <c r="O194" s="1" t="str">
        <f t="shared" ref="O194:O257" si="13">IF(I194&lt;20,"&lt;20",IF(I194&lt;40,"20-40",IF(I194&lt;60,"40-60","60+")))</f>
        <v>20-40</v>
      </c>
      <c r="P194" s="1" t="str">
        <f t="shared" ref="P194:P257" si="14">IF(COUNTIF(B:B,B194)&gt;1,"Yes","No")</f>
        <v>No</v>
      </c>
      <c r="Q194" s="17" t="str">
        <f t="shared" ref="Q194:Q257" si="15">IF(F194="","No Code","Used Code")</f>
        <v>No Code</v>
      </c>
    </row>
    <row r="195" spans="1:17" x14ac:dyDescent="0.25">
      <c r="A195" s="8">
        <v>5045</v>
      </c>
      <c r="B195" s="8" t="s">
        <v>95</v>
      </c>
      <c r="C195" s="8" t="s">
        <v>188</v>
      </c>
      <c r="D195" s="10">
        <v>46037</v>
      </c>
      <c r="E195" s="8" t="s">
        <v>234</v>
      </c>
      <c r="F195" s="8"/>
      <c r="G195" s="1" t="str">
        <f>INDEX(Customers!B:B,MATCH(B195,Customers!A:A,0))</f>
        <v>James Harris</v>
      </c>
      <c r="H195" s="1" t="str">
        <f>INDEX(Customers!E:E,MATCH(B195,Customers!A:A,0))</f>
        <v>Male</v>
      </c>
      <c r="I195" s="1">
        <f>INDEX(Customers!C:C,MATCH(B195,Customers!A:A,0))</f>
        <v>23</v>
      </c>
      <c r="J195" s="1" t="str">
        <f>INDEX(Customers!D:D,MATCH(B195,Customers!A:A,0))</f>
        <v>Kano</v>
      </c>
      <c r="K195" s="1" t="str">
        <f>INDEX(Products!B:B,MATCH(C195,Products!A:A,0))</f>
        <v>Clothing</v>
      </c>
      <c r="L195" s="1" t="str">
        <f>INDEX(Products!C:C,MATCH(C195,Products!A:A,0))</f>
        <v>Linen Trousers</v>
      </c>
      <c r="M195" s="1">
        <f>INDEX(Products!D:D,MATCH(C195,Products!A:A,0))</f>
        <v>47</v>
      </c>
      <c r="N195" s="1" t="str">
        <f t="shared" si="12"/>
        <v>Winter</v>
      </c>
      <c r="O195" s="1" t="str">
        <f t="shared" si="13"/>
        <v>20-40</v>
      </c>
      <c r="P195" s="1" t="str">
        <f t="shared" si="14"/>
        <v>Yes</v>
      </c>
      <c r="Q195" s="17" t="str">
        <f t="shared" si="15"/>
        <v>No Code</v>
      </c>
    </row>
    <row r="196" spans="1:17" x14ac:dyDescent="0.25">
      <c r="A196" s="8">
        <v>5123</v>
      </c>
      <c r="B196" s="8" t="s">
        <v>55</v>
      </c>
      <c r="C196" s="8" t="s">
        <v>205</v>
      </c>
      <c r="D196" s="10">
        <v>45903</v>
      </c>
      <c r="E196" s="8" t="s">
        <v>352</v>
      </c>
      <c r="F196" s="8" t="s">
        <v>224</v>
      </c>
      <c r="G196" s="1" t="str">
        <f>INDEX(Customers!B:B,MATCH(B196,Customers!A:A,0))</f>
        <v>Adaeze Thomas</v>
      </c>
      <c r="H196" s="1" t="str">
        <f>INDEX(Customers!E:E,MATCH(B196,Customers!A:A,0))</f>
        <v>Female</v>
      </c>
      <c r="I196" s="1">
        <f>INDEX(Customers!C:C,MATCH(B196,Customers!A:A,0))</f>
        <v>40</v>
      </c>
      <c r="J196" s="1" t="str">
        <f>INDEX(Customers!D:D,MATCH(B196,Customers!A:A,0))</f>
        <v>Jos</v>
      </c>
      <c r="K196" s="1" t="str">
        <f>INDEX(Products!B:B,MATCH(C196,Products!A:A,0))</f>
        <v>Accessories</v>
      </c>
      <c r="L196" s="1" t="str">
        <f>INDEX(Products!C:C,MATCH(C196,Products!A:A,0))</f>
        <v>Sunglasses</v>
      </c>
      <c r="M196" s="1">
        <f>INDEX(Products!D:D,MATCH(C196,Products!A:A,0))</f>
        <v>38</v>
      </c>
      <c r="N196" s="1" t="str">
        <f t="shared" si="12"/>
        <v>Fall</v>
      </c>
      <c r="O196" s="1" t="str">
        <f t="shared" si="13"/>
        <v>40-60</v>
      </c>
      <c r="P196" s="1" t="str">
        <f t="shared" si="14"/>
        <v>Yes</v>
      </c>
      <c r="Q196" s="17" t="str">
        <f t="shared" si="15"/>
        <v>Used Code</v>
      </c>
    </row>
    <row r="197" spans="1:17" x14ac:dyDescent="0.25">
      <c r="A197" s="8">
        <v>5213</v>
      </c>
      <c r="B197" s="8" t="s">
        <v>41</v>
      </c>
      <c r="C197" s="8" t="s">
        <v>198</v>
      </c>
      <c r="D197" s="10">
        <v>45941</v>
      </c>
      <c r="E197" s="8" t="s">
        <v>352</v>
      </c>
      <c r="F197" s="8" t="s">
        <v>224</v>
      </c>
      <c r="G197" s="1" t="str">
        <f>INDEX(Customers!B:B,MATCH(B197,Customers!A:A,0))</f>
        <v>Rita Moore</v>
      </c>
      <c r="H197" s="1" t="str">
        <f>INDEX(Customers!E:E,MATCH(B197,Customers!A:A,0))</f>
        <v>Female</v>
      </c>
      <c r="I197" s="1">
        <f>INDEX(Customers!C:C,MATCH(B197,Customers!A:A,0))</f>
        <v>50</v>
      </c>
      <c r="J197" s="1" t="str">
        <f>INDEX(Customers!D:D,MATCH(B197,Customers!A:A,0))</f>
        <v>Abeokuta</v>
      </c>
      <c r="K197" s="1" t="str">
        <f>INDEX(Products!B:B,MATCH(C197,Products!A:A,0))</f>
        <v>Clothing</v>
      </c>
      <c r="L197" s="1" t="str">
        <f>INDEX(Products!C:C,MATCH(C197,Products!A:A,0))</f>
        <v>Knit Sweater</v>
      </c>
      <c r="M197" s="1">
        <f>INDEX(Products!D:D,MATCH(C197,Products!A:A,0))</f>
        <v>58</v>
      </c>
      <c r="N197" s="1" t="str">
        <f t="shared" si="12"/>
        <v>Fall</v>
      </c>
      <c r="O197" s="1" t="str">
        <f t="shared" si="13"/>
        <v>40-60</v>
      </c>
      <c r="P197" s="1" t="str">
        <f t="shared" si="14"/>
        <v>Yes</v>
      </c>
      <c r="Q197" s="17" t="str">
        <f t="shared" si="15"/>
        <v>Used Code</v>
      </c>
    </row>
    <row r="198" spans="1:17" x14ac:dyDescent="0.25">
      <c r="A198" s="8">
        <v>5031</v>
      </c>
      <c r="B198" s="8" t="s">
        <v>83</v>
      </c>
      <c r="C198" s="8" t="s">
        <v>215</v>
      </c>
      <c r="D198" s="10">
        <v>46159</v>
      </c>
      <c r="E198" s="8" t="s">
        <v>353</v>
      </c>
      <c r="F198" s="8"/>
      <c r="G198" s="1" t="str">
        <f>INDEX(Customers!B:B,MATCH(B198,Customers!A:A,0))</f>
        <v>Linda Smith</v>
      </c>
      <c r="H198" s="1" t="str">
        <f>INDEX(Customers!E:E,MATCH(B198,Customers!A:A,0))</f>
        <v>Female</v>
      </c>
      <c r="I198" s="1">
        <f>INDEX(Customers!C:C,MATCH(B198,Customers!A:A,0))</f>
        <v>57</v>
      </c>
      <c r="J198" s="1" t="str">
        <f>INDEX(Customers!D:D,MATCH(B198,Customers!A:A,0))</f>
        <v>Ibadan</v>
      </c>
      <c r="K198" s="1" t="str">
        <f>INDEX(Products!B:B,MATCH(C198,Products!A:A,0))</f>
        <v>Accessories</v>
      </c>
      <c r="L198" s="1" t="str">
        <f>INDEX(Products!C:C,MATCH(C198,Products!A:A,0))</f>
        <v>Clutch Purse</v>
      </c>
      <c r="M198" s="1">
        <f>INDEX(Products!D:D,MATCH(C198,Products!A:A,0))</f>
        <v>48</v>
      </c>
      <c r="N198" s="1" t="str">
        <f t="shared" si="12"/>
        <v>Spring</v>
      </c>
      <c r="O198" s="1" t="str">
        <f t="shared" si="13"/>
        <v>40-60</v>
      </c>
      <c r="P198" s="1" t="str">
        <f t="shared" si="14"/>
        <v>Yes</v>
      </c>
      <c r="Q198" s="17" t="str">
        <f t="shared" si="15"/>
        <v>No Code</v>
      </c>
    </row>
    <row r="199" spans="1:17" x14ac:dyDescent="0.25">
      <c r="A199" s="8">
        <v>5104</v>
      </c>
      <c r="B199" s="8" t="s">
        <v>25</v>
      </c>
      <c r="C199" s="8" t="s">
        <v>194</v>
      </c>
      <c r="D199" s="10">
        <v>45973</v>
      </c>
      <c r="E199" s="8" t="s">
        <v>231</v>
      </c>
      <c r="F199" s="8" t="s">
        <v>225</v>
      </c>
      <c r="G199" s="1" t="str">
        <f>INDEX(Customers!B:B,MATCH(B199,Customers!A:A,0))</f>
        <v>John Okoro</v>
      </c>
      <c r="H199" s="1" t="str">
        <f>INDEX(Customers!E:E,MATCH(B199,Customers!A:A,0))</f>
        <v>Male</v>
      </c>
      <c r="I199" s="1">
        <f>INDEX(Customers!C:C,MATCH(B199,Customers!A:A,0))</f>
        <v>30</v>
      </c>
      <c r="J199" s="1" t="str">
        <f>INDEX(Customers!D:D,MATCH(B199,Customers!A:A,0))</f>
        <v>Jos</v>
      </c>
      <c r="K199" s="1" t="str">
        <f>INDEX(Products!B:B,MATCH(C199,Products!A:A,0))</f>
        <v>Clothing</v>
      </c>
      <c r="L199" s="1" t="str">
        <f>INDEX(Products!C:C,MATCH(C199,Products!A:A,0))</f>
        <v>Jumpsuit</v>
      </c>
      <c r="M199" s="1">
        <f>INDEX(Products!D:D,MATCH(C199,Products!A:A,0))</f>
        <v>76</v>
      </c>
      <c r="N199" s="1" t="str">
        <f t="shared" si="12"/>
        <v>Fall</v>
      </c>
      <c r="O199" s="1" t="str">
        <f t="shared" si="13"/>
        <v>20-40</v>
      </c>
      <c r="P199" s="1" t="str">
        <f t="shared" si="14"/>
        <v>Yes</v>
      </c>
      <c r="Q199" s="17" t="str">
        <f t="shared" si="15"/>
        <v>Used Code</v>
      </c>
    </row>
    <row r="200" spans="1:17" x14ac:dyDescent="0.25">
      <c r="A200" s="8">
        <v>5277</v>
      </c>
      <c r="B200" s="8" t="s">
        <v>236</v>
      </c>
      <c r="C200" s="8" t="s">
        <v>200</v>
      </c>
      <c r="D200" s="10">
        <v>46128</v>
      </c>
      <c r="E200" s="8" t="s">
        <v>233</v>
      </c>
      <c r="F200" s="8"/>
      <c r="G200" s="1" t="str">
        <f>INDEX(Customers!B:B,MATCH(B200,Customers!A:A,0))</f>
        <v>Michael Wilson</v>
      </c>
      <c r="H200" s="1" t="str">
        <f>INDEX(Customers!E:E,MATCH(B200,Customers!A:A,0))</f>
        <v>Male</v>
      </c>
      <c r="I200" s="1">
        <f>INDEX(Customers!C:C,MATCH(B200,Customers!A:A,0))</f>
        <v>46</v>
      </c>
      <c r="J200" s="1" t="str">
        <f>INDEX(Customers!D:D,MATCH(B200,Customers!A:A,0))</f>
        <v>Owerri</v>
      </c>
      <c r="K200" s="1" t="str">
        <f>INDEX(Products!B:B,MATCH(C200,Products!A:A,0))</f>
        <v>Accessories</v>
      </c>
      <c r="L200" s="1" t="str">
        <f>INDEX(Products!C:C,MATCH(C200,Products!A:A,0))</f>
        <v>Beaded Necklace</v>
      </c>
      <c r="M200" s="1">
        <f>INDEX(Products!D:D,MATCH(C200,Products!A:A,0))</f>
        <v>25</v>
      </c>
      <c r="N200" s="1" t="str">
        <f t="shared" si="12"/>
        <v>Spring</v>
      </c>
      <c r="O200" s="1" t="str">
        <f t="shared" si="13"/>
        <v>40-60</v>
      </c>
      <c r="P200" s="1" t="str">
        <f t="shared" si="14"/>
        <v>Yes</v>
      </c>
      <c r="Q200" s="17" t="str">
        <f t="shared" si="15"/>
        <v>No Code</v>
      </c>
    </row>
    <row r="201" spans="1:17" x14ac:dyDescent="0.25">
      <c r="A201" s="8">
        <v>5126</v>
      </c>
      <c r="B201" s="8" t="s">
        <v>102</v>
      </c>
      <c r="C201" s="8" t="s">
        <v>188</v>
      </c>
      <c r="D201" s="10">
        <v>46161</v>
      </c>
      <c r="E201" s="8" t="s">
        <v>231</v>
      </c>
      <c r="F201" s="8" t="s">
        <v>226</v>
      </c>
      <c r="G201" s="1" t="str">
        <f>INDEX(Customers!B:B,MATCH(B201,Customers!A:A,0))</f>
        <v>Grace Wilson</v>
      </c>
      <c r="H201" s="1" t="str">
        <f>INDEX(Customers!E:E,MATCH(B201,Customers!A:A,0))</f>
        <v>Female</v>
      </c>
      <c r="I201" s="1">
        <f>INDEX(Customers!C:C,MATCH(B201,Customers!A:A,0))</f>
        <v>30</v>
      </c>
      <c r="J201" s="1" t="str">
        <f>INDEX(Customers!D:D,MATCH(B201,Customers!A:A,0))</f>
        <v>Kaduna</v>
      </c>
      <c r="K201" s="1" t="str">
        <f>INDEX(Products!B:B,MATCH(C201,Products!A:A,0))</f>
        <v>Clothing</v>
      </c>
      <c r="L201" s="1" t="str">
        <f>INDEX(Products!C:C,MATCH(C201,Products!A:A,0))</f>
        <v>Linen Trousers</v>
      </c>
      <c r="M201" s="1">
        <f>INDEX(Products!D:D,MATCH(C201,Products!A:A,0))</f>
        <v>47</v>
      </c>
      <c r="N201" s="1" t="str">
        <f t="shared" si="12"/>
        <v>Spring</v>
      </c>
      <c r="O201" s="1" t="str">
        <f t="shared" si="13"/>
        <v>20-40</v>
      </c>
      <c r="P201" s="1" t="str">
        <f t="shared" si="14"/>
        <v>Yes</v>
      </c>
      <c r="Q201" s="17" t="str">
        <f t="shared" si="15"/>
        <v>Used Code</v>
      </c>
    </row>
    <row r="202" spans="1:17" x14ac:dyDescent="0.25">
      <c r="A202" s="8">
        <v>5183</v>
      </c>
      <c r="B202" s="8" t="s">
        <v>74</v>
      </c>
      <c r="C202" s="8" t="s">
        <v>219</v>
      </c>
      <c r="D202" s="10">
        <v>45826</v>
      </c>
      <c r="E202" s="8" t="s">
        <v>234</v>
      </c>
      <c r="F202" s="8"/>
      <c r="G202" s="1" t="str">
        <f>INDEX(Customers!B:B,MATCH(B202,Customers!A:A,0))</f>
        <v>Emeka Moore</v>
      </c>
      <c r="H202" s="1" t="str">
        <f>INDEX(Customers!E:E,MATCH(B202,Customers!A:A,0))</f>
        <v>Male</v>
      </c>
      <c r="I202" s="1">
        <f>INDEX(Customers!C:C,MATCH(B202,Customers!A:A,0))</f>
        <v>46</v>
      </c>
      <c r="J202" s="1" t="str">
        <f>INDEX(Customers!D:D,MATCH(B202,Customers!A:A,0))</f>
        <v>Warri</v>
      </c>
      <c r="K202" s="1" t="str">
        <f>INDEX(Products!B:B,MATCH(C202,Products!A:A,0))</f>
        <v>Accessories</v>
      </c>
      <c r="L202" s="1" t="str">
        <f>INDEX(Products!C:C,MATCH(C202,Products!A:A,0))</f>
        <v>Waist Belt</v>
      </c>
      <c r="M202" s="1">
        <f>INDEX(Products!D:D,MATCH(C202,Products!A:A,0))</f>
        <v>33</v>
      </c>
      <c r="N202" s="1" t="str">
        <f t="shared" si="12"/>
        <v>Summer</v>
      </c>
      <c r="O202" s="1" t="str">
        <f t="shared" si="13"/>
        <v>40-60</v>
      </c>
      <c r="P202" s="1" t="str">
        <f t="shared" si="14"/>
        <v>Yes</v>
      </c>
      <c r="Q202" s="17" t="str">
        <f t="shared" si="15"/>
        <v>No Code</v>
      </c>
    </row>
    <row r="203" spans="1:17" x14ac:dyDescent="0.25">
      <c r="A203" s="8">
        <v>5118</v>
      </c>
      <c r="B203" s="8" t="s">
        <v>139</v>
      </c>
      <c r="C203" s="8" t="s">
        <v>198</v>
      </c>
      <c r="D203" s="10">
        <v>45909</v>
      </c>
      <c r="E203" s="8" t="s">
        <v>233</v>
      </c>
      <c r="F203" s="8"/>
      <c r="G203" s="1" t="str">
        <f>INDEX(Customers!B:B,MATCH(B203,Customers!A:A,0))</f>
        <v>Aisha Bello</v>
      </c>
      <c r="H203" s="1" t="str">
        <f>INDEX(Customers!E:E,MATCH(B203,Customers!A:A,0))</f>
        <v>Female</v>
      </c>
      <c r="I203" s="1">
        <f>INDEX(Customers!C:C,MATCH(B203,Customers!A:A,0))</f>
        <v>32</v>
      </c>
      <c r="J203" s="1" t="str">
        <f>INDEX(Customers!D:D,MATCH(B203,Customers!A:A,0))</f>
        <v>Kaduna</v>
      </c>
      <c r="K203" s="1" t="str">
        <f>INDEX(Products!B:B,MATCH(C203,Products!A:A,0))</f>
        <v>Clothing</v>
      </c>
      <c r="L203" s="1" t="str">
        <f>INDEX(Products!C:C,MATCH(C203,Products!A:A,0))</f>
        <v>Knit Sweater</v>
      </c>
      <c r="M203" s="1">
        <f>INDEX(Products!D:D,MATCH(C203,Products!A:A,0))</f>
        <v>58</v>
      </c>
      <c r="N203" s="1" t="str">
        <f t="shared" si="12"/>
        <v>Fall</v>
      </c>
      <c r="O203" s="1" t="str">
        <f t="shared" si="13"/>
        <v>20-40</v>
      </c>
      <c r="P203" s="1" t="str">
        <f t="shared" si="14"/>
        <v>Yes</v>
      </c>
      <c r="Q203" s="17" t="str">
        <f t="shared" si="15"/>
        <v>No Code</v>
      </c>
    </row>
    <row r="204" spans="1:17" x14ac:dyDescent="0.25">
      <c r="A204" s="8">
        <v>5251</v>
      </c>
      <c r="B204" s="8" t="s">
        <v>232</v>
      </c>
      <c r="C204" s="8" t="s">
        <v>196</v>
      </c>
      <c r="D204" s="10">
        <v>45728</v>
      </c>
      <c r="E204" s="8" t="s">
        <v>353</v>
      </c>
      <c r="F204" s="8" t="s">
        <v>226</v>
      </c>
      <c r="G204" s="1" t="str">
        <f>INDEX(Customers!B:B,MATCH(B204,Customers!A:A,0))</f>
        <v>Yusuf Thomas</v>
      </c>
      <c r="H204" s="1" t="str">
        <f>INDEX(Customers!E:E,MATCH(B204,Customers!A:A,0))</f>
        <v>Male</v>
      </c>
      <c r="I204" s="1">
        <f>INDEX(Customers!C:C,MATCH(B204,Customers!A:A,0))</f>
        <v>30</v>
      </c>
      <c r="J204" s="1" t="str">
        <f>INDEX(Customers!D:D,MATCH(B204,Customers!A:A,0))</f>
        <v>Ibadan</v>
      </c>
      <c r="K204" s="1" t="str">
        <f>INDEX(Products!B:B,MATCH(C204,Products!A:A,0))</f>
        <v>Clothing</v>
      </c>
      <c r="L204" s="1" t="str">
        <f>INDEX(Products!C:C,MATCH(C204,Products!A:A,0))</f>
        <v>Wrap Skirt</v>
      </c>
      <c r="M204" s="1">
        <f>INDEX(Products!D:D,MATCH(C204,Products!A:A,0))</f>
        <v>42</v>
      </c>
      <c r="N204" s="1" t="str">
        <f t="shared" si="12"/>
        <v>Spring</v>
      </c>
      <c r="O204" s="1" t="str">
        <f t="shared" si="13"/>
        <v>20-40</v>
      </c>
      <c r="P204" s="1" t="str">
        <f t="shared" si="14"/>
        <v>Yes</v>
      </c>
      <c r="Q204" s="17" t="str">
        <f t="shared" si="15"/>
        <v>Used Code</v>
      </c>
    </row>
    <row r="205" spans="1:17" x14ac:dyDescent="0.25">
      <c r="A205" s="8">
        <v>5273</v>
      </c>
      <c r="B205" s="8" t="s">
        <v>45</v>
      </c>
      <c r="C205" s="8" t="s">
        <v>184</v>
      </c>
      <c r="D205" s="10">
        <v>45981</v>
      </c>
      <c r="E205" s="8" t="s">
        <v>352</v>
      </c>
      <c r="F205" s="8"/>
      <c r="G205" s="1" t="str">
        <f>INDEX(Customers!B:B,MATCH(B205,Customers!A:A,0))</f>
        <v>Amara Smith</v>
      </c>
      <c r="H205" s="1" t="str">
        <f>INDEX(Customers!E:E,MATCH(B205,Customers!A:A,0))</f>
        <v>Female</v>
      </c>
      <c r="I205" s="1">
        <f>INDEX(Customers!C:C,MATCH(B205,Customers!A:A,0))</f>
        <v>26</v>
      </c>
      <c r="J205" s="1" t="str">
        <f>INDEX(Customers!D:D,MATCH(B205,Customers!A:A,0))</f>
        <v>Abeokuta</v>
      </c>
      <c r="K205" s="1" t="str">
        <f>INDEX(Products!B:B,MATCH(C205,Products!A:A,0))</f>
        <v>Clothing</v>
      </c>
      <c r="L205" s="1" t="str">
        <f>INDEX(Products!C:C,MATCH(C205,Products!A:A,0))</f>
        <v>Silk Blouse</v>
      </c>
      <c r="M205" s="1">
        <f>INDEX(Products!D:D,MATCH(C205,Products!A:A,0))</f>
        <v>54</v>
      </c>
      <c r="N205" s="1" t="str">
        <f t="shared" si="12"/>
        <v>Fall</v>
      </c>
      <c r="O205" s="1" t="str">
        <f t="shared" si="13"/>
        <v>20-40</v>
      </c>
      <c r="P205" s="1" t="str">
        <f t="shared" si="14"/>
        <v>Yes</v>
      </c>
      <c r="Q205" s="17" t="str">
        <f t="shared" si="15"/>
        <v>No Code</v>
      </c>
    </row>
    <row r="206" spans="1:17" x14ac:dyDescent="0.25">
      <c r="A206" s="8">
        <v>5125</v>
      </c>
      <c r="B206" s="8" t="s">
        <v>102</v>
      </c>
      <c r="C206" s="8" t="s">
        <v>192</v>
      </c>
      <c r="D206" s="10">
        <v>46062</v>
      </c>
      <c r="E206" s="8" t="s">
        <v>353</v>
      </c>
      <c r="F206" s="8"/>
      <c r="G206" s="1" t="str">
        <f>INDEX(Customers!B:B,MATCH(B206,Customers!A:A,0))</f>
        <v>Grace Wilson</v>
      </c>
      <c r="H206" s="1" t="str">
        <f>INDEX(Customers!E:E,MATCH(B206,Customers!A:A,0))</f>
        <v>Female</v>
      </c>
      <c r="I206" s="1">
        <f>INDEX(Customers!C:C,MATCH(B206,Customers!A:A,0))</f>
        <v>30</v>
      </c>
      <c r="J206" s="1" t="str">
        <f>INDEX(Customers!D:D,MATCH(B206,Customers!A:A,0))</f>
        <v>Kaduna</v>
      </c>
      <c r="K206" s="1" t="str">
        <f>INDEX(Products!B:B,MATCH(C206,Products!A:A,0))</f>
        <v>Clothing</v>
      </c>
      <c r="L206" s="1" t="str">
        <f>INDEX(Products!C:C,MATCH(C206,Products!A:A,0))</f>
        <v>Blazer</v>
      </c>
      <c r="M206" s="1">
        <f>INDEX(Products!D:D,MATCH(C206,Products!A:A,0))</f>
        <v>135</v>
      </c>
      <c r="N206" s="1" t="str">
        <f t="shared" si="12"/>
        <v>Winter</v>
      </c>
      <c r="O206" s="1" t="str">
        <f t="shared" si="13"/>
        <v>20-40</v>
      </c>
      <c r="P206" s="1" t="str">
        <f t="shared" si="14"/>
        <v>Yes</v>
      </c>
      <c r="Q206" s="17" t="str">
        <f t="shared" si="15"/>
        <v>No Code</v>
      </c>
    </row>
    <row r="207" spans="1:17" x14ac:dyDescent="0.25">
      <c r="A207" s="8">
        <v>5113</v>
      </c>
      <c r="B207" s="8" t="s">
        <v>93</v>
      </c>
      <c r="C207" s="8" t="s">
        <v>211</v>
      </c>
      <c r="D207" s="10">
        <v>45905</v>
      </c>
      <c r="E207" s="8" t="s">
        <v>234</v>
      </c>
      <c r="F207" s="8" t="s">
        <v>224</v>
      </c>
      <c r="G207" s="1" t="str">
        <f>INDEX(Customers!B:B,MATCH(B207,Customers!A:A,0))</f>
        <v>Brian Chukwu</v>
      </c>
      <c r="H207" s="1" t="str">
        <f>INDEX(Customers!E:E,MATCH(B207,Customers!A:A,0))</f>
        <v>Male</v>
      </c>
      <c r="I207" s="1">
        <f>INDEX(Customers!C:C,MATCH(B207,Customers!A:A,0))</f>
        <v>40</v>
      </c>
      <c r="J207" s="1" t="str">
        <f>INDEX(Customers!D:D,MATCH(B207,Customers!A:A,0))</f>
        <v>Enugu</v>
      </c>
      <c r="K207" s="1" t="str">
        <f>INDEX(Products!B:B,MATCH(C207,Products!A:A,0))</f>
        <v>Accessories</v>
      </c>
      <c r="L207" s="1" t="str">
        <f>INDEX(Products!C:C,MATCH(C207,Products!A:A,0))</f>
        <v>Bangle Set</v>
      </c>
      <c r="M207" s="1">
        <f>INDEX(Products!D:D,MATCH(C207,Products!A:A,0))</f>
        <v>22</v>
      </c>
      <c r="N207" s="1" t="str">
        <f t="shared" si="12"/>
        <v>Fall</v>
      </c>
      <c r="O207" s="1" t="str">
        <f t="shared" si="13"/>
        <v>40-60</v>
      </c>
      <c r="P207" s="1" t="str">
        <f t="shared" si="14"/>
        <v>Yes</v>
      </c>
      <c r="Q207" s="17" t="str">
        <f t="shared" si="15"/>
        <v>Used Code</v>
      </c>
    </row>
    <row r="208" spans="1:17" x14ac:dyDescent="0.25">
      <c r="A208" s="8">
        <v>5240</v>
      </c>
      <c r="B208" s="8" t="s">
        <v>174</v>
      </c>
      <c r="C208" s="8" t="s">
        <v>198</v>
      </c>
      <c r="D208" s="10">
        <v>46064</v>
      </c>
      <c r="E208" s="8" t="s">
        <v>352</v>
      </c>
      <c r="F208" s="8"/>
      <c r="G208" s="1" t="str">
        <f>INDEX(Customers!B:B,MATCH(B208,Customers!A:A,0))</f>
        <v>Peter Suleiman</v>
      </c>
      <c r="H208" s="1" t="str">
        <f>INDEX(Customers!E:E,MATCH(B208,Customers!A:A,0))</f>
        <v>Male</v>
      </c>
      <c r="I208" s="1">
        <f>INDEX(Customers!C:C,MATCH(B208,Customers!A:A,0))</f>
        <v>38</v>
      </c>
      <c r="J208" s="1" t="str">
        <f>INDEX(Customers!D:D,MATCH(B208,Customers!A:A,0))</f>
        <v>Ibadan</v>
      </c>
      <c r="K208" s="1" t="str">
        <f>INDEX(Products!B:B,MATCH(C208,Products!A:A,0))</f>
        <v>Clothing</v>
      </c>
      <c r="L208" s="1" t="str">
        <f>INDEX(Products!C:C,MATCH(C208,Products!A:A,0))</f>
        <v>Knit Sweater</v>
      </c>
      <c r="M208" s="1">
        <f>INDEX(Products!D:D,MATCH(C208,Products!A:A,0))</f>
        <v>58</v>
      </c>
      <c r="N208" s="1" t="str">
        <f t="shared" si="12"/>
        <v>Winter</v>
      </c>
      <c r="O208" s="1" t="str">
        <f t="shared" si="13"/>
        <v>20-40</v>
      </c>
      <c r="P208" s="1" t="str">
        <f t="shared" si="14"/>
        <v>Yes</v>
      </c>
      <c r="Q208" s="17" t="str">
        <f t="shared" si="15"/>
        <v>No Code</v>
      </c>
    </row>
    <row r="209" spans="1:17" x14ac:dyDescent="0.25">
      <c r="A209" s="8">
        <v>5061</v>
      </c>
      <c r="B209" s="8" t="s">
        <v>32</v>
      </c>
      <c r="C209" s="8" t="s">
        <v>186</v>
      </c>
      <c r="D209" s="10">
        <v>45900</v>
      </c>
      <c r="E209" s="8" t="s">
        <v>233</v>
      </c>
      <c r="F209" s="8" t="s">
        <v>226</v>
      </c>
      <c r="G209" s="1" t="str">
        <f>INDEX(Customers!B:B,MATCH(B209,Customers!A:A,0))</f>
        <v>Emeka Eze</v>
      </c>
      <c r="H209" s="1" t="str">
        <f>INDEX(Customers!E:E,MATCH(B209,Customers!A:A,0))</f>
        <v>Male</v>
      </c>
      <c r="I209" s="1">
        <f>INDEX(Customers!C:C,MATCH(B209,Customers!A:A,0))</f>
        <v>26</v>
      </c>
      <c r="J209" s="1" t="str">
        <f>INDEX(Customers!D:D,MATCH(B209,Customers!A:A,0))</f>
        <v>Calabar</v>
      </c>
      <c r="K209" s="1" t="str">
        <f>INDEX(Products!B:B,MATCH(C209,Products!A:A,0))</f>
        <v>Clothing</v>
      </c>
      <c r="L209" s="1" t="str">
        <f>INDEX(Products!C:C,MATCH(C209,Products!A:A,0))</f>
        <v>Maxi Gown</v>
      </c>
      <c r="M209" s="1">
        <f>INDEX(Products!D:D,MATCH(C209,Products!A:A,0))</f>
        <v>120</v>
      </c>
      <c r="N209" s="1" t="str">
        <f t="shared" si="12"/>
        <v>Summer</v>
      </c>
      <c r="O209" s="1" t="str">
        <f t="shared" si="13"/>
        <v>20-40</v>
      </c>
      <c r="P209" s="1" t="str">
        <f t="shared" si="14"/>
        <v>No</v>
      </c>
      <c r="Q209" s="17" t="str">
        <f t="shared" si="15"/>
        <v>Used Code</v>
      </c>
    </row>
    <row r="210" spans="1:17" x14ac:dyDescent="0.25">
      <c r="A210" s="8">
        <v>5095</v>
      </c>
      <c r="B210" s="8" t="s">
        <v>44</v>
      </c>
      <c r="C210" s="8" t="s">
        <v>217</v>
      </c>
      <c r="D210" s="10">
        <v>45922</v>
      </c>
      <c r="E210" s="8" t="s">
        <v>353</v>
      </c>
      <c r="F210" s="8" t="s">
        <v>226</v>
      </c>
      <c r="G210" s="1" t="str">
        <f>INDEX(Customers!B:B,MATCH(B210,Customers!A:A,0))</f>
        <v>Nancy Okafor</v>
      </c>
      <c r="H210" s="1" t="str">
        <f>INDEX(Customers!E:E,MATCH(B210,Customers!A:A,0))</f>
        <v>Female</v>
      </c>
      <c r="I210" s="1">
        <f>INDEX(Customers!C:C,MATCH(B210,Customers!A:A,0))</f>
        <v>31</v>
      </c>
      <c r="J210" s="1" t="str">
        <f>INDEX(Customers!D:D,MATCH(B210,Customers!A:A,0))</f>
        <v>Owerri</v>
      </c>
      <c r="K210" s="1" t="str">
        <f>INDEX(Products!B:B,MATCH(C210,Products!A:A,0))</f>
        <v>Accessories</v>
      </c>
      <c r="L210" s="1" t="str">
        <f>INDEX(Products!C:C,MATCH(C210,Products!A:A,0))</f>
        <v>Earrings</v>
      </c>
      <c r="M210" s="1">
        <f>INDEX(Products!D:D,MATCH(C210,Products!A:A,0))</f>
        <v>19</v>
      </c>
      <c r="N210" s="1" t="str">
        <f t="shared" si="12"/>
        <v>Fall</v>
      </c>
      <c r="O210" s="1" t="str">
        <f t="shared" si="13"/>
        <v>20-40</v>
      </c>
      <c r="P210" s="1" t="str">
        <f t="shared" si="14"/>
        <v>Yes</v>
      </c>
      <c r="Q210" s="17" t="str">
        <f t="shared" si="15"/>
        <v>Used Code</v>
      </c>
    </row>
    <row r="211" spans="1:17" x14ac:dyDescent="0.25">
      <c r="A211" s="8">
        <v>5215</v>
      </c>
      <c r="B211" s="8" t="s">
        <v>41</v>
      </c>
      <c r="C211" s="8" t="s">
        <v>186</v>
      </c>
      <c r="D211" s="10">
        <v>45828</v>
      </c>
      <c r="E211" s="8" t="s">
        <v>352</v>
      </c>
      <c r="F211" s="8"/>
      <c r="G211" s="1" t="str">
        <f>INDEX(Customers!B:B,MATCH(B211,Customers!A:A,0))</f>
        <v>Rita Moore</v>
      </c>
      <c r="H211" s="1" t="str">
        <f>INDEX(Customers!E:E,MATCH(B211,Customers!A:A,0))</f>
        <v>Female</v>
      </c>
      <c r="I211" s="1">
        <f>INDEX(Customers!C:C,MATCH(B211,Customers!A:A,0))</f>
        <v>50</v>
      </c>
      <c r="J211" s="1" t="str">
        <f>INDEX(Customers!D:D,MATCH(B211,Customers!A:A,0))</f>
        <v>Abeokuta</v>
      </c>
      <c r="K211" s="1" t="str">
        <f>INDEX(Products!B:B,MATCH(C211,Products!A:A,0))</f>
        <v>Clothing</v>
      </c>
      <c r="L211" s="1" t="str">
        <f>INDEX(Products!C:C,MATCH(C211,Products!A:A,0))</f>
        <v>Maxi Gown</v>
      </c>
      <c r="M211" s="1">
        <f>INDEX(Products!D:D,MATCH(C211,Products!A:A,0))</f>
        <v>120</v>
      </c>
      <c r="N211" s="1" t="str">
        <f t="shared" si="12"/>
        <v>Summer</v>
      </c>
      <c r="O211" s="1" t="str">
        <f t="shared" si="13"/>
        <v>40-60</v>
      </c>
      <c r="P211" s="1" t="str">
        <f t="shared" si="14"/>
        <v>Yes</v>
      </c>
      <c r="Q211" s="17" t="str">
        <f t="shared" si="15"/>
        <v>No Code</v>
      </c>
    </row>
    <row r="212" spans="1:17" x14ac:dyDescent="0.25">
      <c r="A212" s="8">
        <v>5097</v>
      </c>
      <c r="B212" s="8" t="s">
        <v>14</v>
      </c>
      <c r="C212" s="8" t="s">
        <v>205</v>
      </c>
      <c r="D212" s="10">
        <v>45980</v>
      </c>
      <c r="E212" s="8" t="s">
        <v>353</v>
      </c>
      <c r="F212" s="8"/>
      <c r="G212" s="1" t="str">
        <f>INDEX(Customers!B:B,MATCH(B212,Customers!A:A,0))</f>
        <v>Tunde Jackson</v>
      </c>
      <c r="H212" s="1" t="str">
        <f>INDEX(Customers!E:E,MATCH(B212,Customers!A:A,0))</f>
        <v>Male</v>
      </c>
      <c r="I212" s="1">
        <f>INDEX(Customers!C:C,MATCH(B212,Customers!A:A,0))</f>
        <v>52</v>
      </c>
      <c r="J212" s="1" t="str">
        <f>INDEX(Customers!D:D,MATCH(B212,Customers!A:A,0))</f>
        <v>Ilorin</v>
      </c>
      <c r="K212" s="1" t="str">
        <f>INDEX(Products!B:B,MATCH(C212,Products!A:A,0))</f>
        <v>Accessories</v>
      </c>
      <c r="L212" s="1" t="str">
        <f>INDEX(Products!C:C,MATCH(C212,Products!A:A,0))</f>
        <v>Sunglasses</v>
      </c>
      <c r="M212" s="1">
        <f>INDEX(Products!D:D,MATCH(C212,Products!A:A,0))</f>
        <v>38</v>
      </c>
      <c r="N212" s="1" t="str">
        <f t="shared" si="12"/>
        <v>Fall</v>
      </c>
      <c r="O212" s="1" t="str">
        <f t="shared" si="13"/>
        <v>40-60</v>
      </c>
      <c r="P212" s="1" t="str">
        <f t="shared" si="14"/>
        <v>No</v>
      </c>
      <c r="Q212" s="17" t="str">
        <f t="shared" si="15"/>
        <v>No Code</v>
      </c>
    </row>
    <row r="213" spans="1:17" x14ac:dyDescent="0.25">
      <c r="A213" s="8">
        <v>5252</v>
      </c>
      <c r="B213" s="8" t="s">
        <v>155</v>
      </c>
      <c r="C213" s="8" t="s">
        <v>207</v>
      </c>
      <c r="D213" s="10">
        <v>46135</v>
      </c>
      <c r="E213" s="8" t="s">
        <v>231</v>
      </c>
      <c r="F213" s="8" t="s">
        <v>225</v>
      </c>
      <c r="G213" s="1" t="str">
        <f>INDEX(Customers!B:B,MATCH(B213,Customers!A:A,0))</f>
        <v>Fatima Eze</v>
      </c>
      <c r="H213" s="1" t="str">
        <f>INDEX(Customers!E:E,MATCH(B213,Customers!A:A,0))</f>
        <v>Female</v>
      </c>
      <c r="I213" s="1">
        <f>INDEX(Customers!C:C,MATCH(B213,Customers!A:A,0))</f>
        <v>23</v>
      </c>
      <c r="J213" s="1" t="str">
        <f>INDEX(Customers!D:D,MATCH(B213,Customers!A:A,0))</f>
        <v>Port Harcourt</v>
      </c>
      <c r="K213" s="1" t="str">
        <f>INDEX(Products!B:B,MATCH(C213,Products!A:A,0))</f>
        <v>Accessories</v>
      </c>
      <c r="L213" s="1" t="str">
        <f>INDEX(Products!C:C,MATCH(C213,Products!A:A,0))</f>
        <v>Hair Scarf</v>
      </c>
      <c r="M213" s="1">
        <f>INDEX(Products!D:D,MATCH(C213,Products!A:A,0))</f>
        <v>15</v>
      </c>
      <c r="N213" s="1" t="str">
        <f t="shared" si="12"/>
        <v>Spring</v>
      </c>
      <c r="O213" s="1" t="str">
        <f t="shared" si="13"/>
        <v>20-40</v>
      </c>
      <c r="P213" s="1" t="str">
        <f t="shared" si="14"/>
        <v>Yes</v>
      </c>
      <c r="Q213" s="17" t="str">
        <f t="shared" si="15"/>
        <v>Used Code</v>
      </c>
    </row>
    <row r="214" spans="1:17" x14ac:dyDescent="0.25">
      <c r="A214" s="8">
        <v>5026</v>
      </c>
      <c r="B214" s="8" t="s">
        <v>69</v>
      </c>
      <c r="C214" s="8" t="s">
        <v>190</v>
      </c>
      <c r="D214" s="10">
        <v>45883</v>
      </c>
      <c r="E214" s="8" t="s">
        <v>233</v>
      </c>
      <c r="F214" s="8"/>
      <c r="G214" s="1" t="str">
        <f>INDEX(Customers!B:B,MATCH(B214,Customers!A:A,0))</f>
        <v>Nkechi Bello</v>
      </c>
      <c r="H214" s="1" t="str">
        <f>INDEX(Customers!E:E,MATCH(B214,Customers!A:A,0))</f>
        <v>Female</v>
      </c>
      <c r="I214" s="1">
        <f>INDEX(Customers!C:C,MATCH(B214,Customers!A:A,0))</f>
        <v>53</v>
      </c>
      <c r="J214" s="1" t="str">
        <f>INDEX(Customers!D:D,MATCH(B214,Customers!A:A,0))</f>
        <v>Warri</v>
      </c>
      <c r="K214" s="1" t="str">
        <f>INDEX(Products!B:B,MATCH(C214,Products!A:A,0))</f>
        <v>Clothing</v>
      </c>
      <c r="L214" s="1" t="str">
        <f>INDEX(Products!C:C,MATCH(C214,Products!A:A,0))</f>
        <v>Kaftan</v>
      </c>
      <c r="M214" s="1">
        <f>INDEX(Products!D:D,MATCH(C214,Products!A:A,0))</f>
        <v>89</v>
      </c>
      <c r="N214" s="1" t="str">
        <f t="shared" si="12"/>
        <v>Summer</v>
      </c>
      <c r="O214" s="1" t="str">
        <f t="shared" si="13"/>
        <v>40-60</v>
      </c>
      <c r="P214" s="1" t="str">
        <f t="shared" si="14"/>
        <v>Yes</v>
      </c>
      <c r="Q214" s="17" t="str">
        <f t="shared" si="15"/>
        <v>No Code</v>
      </c>
    </row>
    <row r="215" spans="1:17" x14ac:dyDescent="0.25">
      <c r="A215" s="8">
        <v>5013</v>
      </c>
      <c r="B215" s="8" t="s">
        <v>128</v>
      </c>
      <c r="C215" s="8" t="s">
        <v>196</v>
      </c>
      <c r="D215" s="10">
        <v>46068</v>
      </c>
      <c r="E215" s="8" t="s">
        <v>352</v>
      </c>
      <c r="F215" s="8"/>
      <c r="G215" s="1" t="str">
        <f>INDEX(Customers!B:B,MATCH(B215,Customers!A:A,0))</f>
        <v>David Harris</v>
      </c>
      <c r="H215" s="1" t="str">
        <f>INDEX(Customers!E:E,MATCH(B215,Customers!A:A,0))</f>
        <v>Male</v>
      </c>
      <c r="I215" s="1">
        <f>INDEX(Customers!C:C,MATCH(B215,Customers!A:A,0))</f>
        <v>54</v>
      </c>
      <c r="J215" s="1" t="str">
        <f>INDEX(Customers!D:D,MATCH(B215,Customers!A:A,0))</f>
        <v>Abuja</v>
      </c>
      <c r="K215" s="1" t="str">
        <f>INDEX(Products!B:B,MATCH(C215,Products!A:A,0))</f>
        <v>Clothing</v>
      </c>
      <c r="L215" s="1" t="str">
        <f>INDEX(Products!C:C,MATCH(C215,Products!A:A,0))</f>
        <v>Wrap Skirt</v>
      </c>
      <c r="M215" s="1">
        <f>INDEX(Products!D:D,MATCH(C215,Products!A:A,0))</f>
        <v>42</v>
      </c>
      <c r="N215" s="1" t="str">
        <f t="shared" si="12"/>
        <v>Winter</v>
      </c>
      <c r="O215" s="1" t="str">
        <f t="shared" si="13"/>
        <v>40-60</v>
      </c>
      <c r="P215" s="1" t="str">
        <f t="shared" si="14"/>
        <v>No</v>
      </c>
      <c r="Q215" s="17" t="str">
        <f t="shared" si="15"/>
        <v>No Code</v>
      </c>
    </row>
    <row r="216" spans="1:17" x14ac:dyDescent="0.25">
      <c r="A216" s="8">
        <v>5002</v>
      </c>
      <c r="B216" s="8" t="s">
        <v>114</v>
      </c>
      <c r="C216" s="8" t="s">
        <v>190</v>
      </c>
      <c r="D216" s="10">
        <v>46055</v>
      </c>
      <c r="E216" s="8" t="s">
        <v>233</v>
      </c>
      <c r="F216" s="8" t="s">
        <v>225</v>
      </c>
      <c r="G216" s="1" t="str">
        <f>INDEX(Customers!B:B,MATCH(B216,Customers!A:A,0))</f>
        <v>Tunde Wilson</v>
      </c>
      <c r="H216" s="1" t="str">
        <f>INDEX(Customers!E:E,MATCH(B216,Customers!A:A,0))</f>
        <v>Male</v>
      </c>
      <c r="I216" s="1">
        <f>INDEX(Customers!C:C,MATCH(B216,Customers!A:A,0))</f>
        <v>59</v>
      </c>
      <c r="J216" s="1" t="str">
        <f>INDEX(Customers!D:D,MATCH(B216,Customers!A:A,0))</f>
        <v>Lagos</v>
      </c>
      <c r="K216" s="1" t="str">
        <f>INDEX(Products!B:B,MATCH(C216,Products!A:A,0))</f>
        <v>Clothing</v>
      </c>
      <c r="L216" s="1" t="str">
        <f>INDEX(Products!C:C,MATCH(C216,Products!A:A,0))</f>
        <v>Kaftan</v>
      </c>
      <c r="M216" s="1">
        <f>INDEX(Products!D:D,MATCH(C216,Products!A:A,0))</f>
        <v>89</v>
      </c>
      <c r="N216" s="1" t="str">
        <f t="shared" si="12"/>
        <v>Winter</v>
      </c>
      <c r="O216" s="1" t="str">
        <f t="shared" si="13"/>
        <v>40-60</v>
      </c>
      <c r="P216" s="1" t="str">
        <f t="shared" si="14"/>
        <v>Yes</v>
      </c>
      <c r="Q216" s="17" t="str">
        <f t="shared" si="15"/>
        <v>Used Code</v>
      </c>
    </row>
    <row r="217" spans="1:17" x14ac:dyDescent="0.25">
      <c r="A217" s="8">
        <v>5223</v>
      </c>
      <c r="B217" s="8" t="s">
        <v>126</v>
      </c>
      <c r="C217" s="8" t="s">
        <v>192</v>
      </c>
      <c r="D217" s="10">
        <v>45954</v>
      </c>
      <c r="E217" s="8" t="s">
        <v>353</v>
      </c>
      <c r="F217" s="8"/>
      <c r="G217" s="1" t="str">
        <f>INDEX(Customers!B:B,MATCH(B217,Customers!A:A,0))</f>
        <v>Robert Ibrahim</v>
      </c>
      <c r="H217" s="1" t="str">
        <f>INDEX(Customers!E:E,MATCH(B217,Customers!A:A,0))</f>
        <v>Male</v>
      </c>
      <c r="I217" s="1">
        <f>INDEX(Customers!C:C,MATCH(B217,Customers!A:A,0))</f>
        <v>39</v>
      </c>
      <c r="J217" s="1" t="str">
        <f>INDEX(Customers!D:D,MATCH(B217,Customers!A:A,0))</f>
        <v>Ibadan</v>
      </c>
      <c r="K217" s="1" t="str">
        <f>INDEX(Products!B:B,MATCH(C217,Products!A:A,0))</f>
        <v>Clothing</v>
      </c>
      <c r="L217" s="1" t="str">
        <f>INDEX(Products!C:C,MATCH(C217,Products!A:A,0))</f>
        <v>Blazer</v>
      </c>
      <c r="M217" s="1">
        <f>INDEX(Products!D:D,MATCH(C217,Products!A:A,0))</f>
        <v>135</v>
      </c>
      <c r="N217" s="1" t="str">
        <f t="shared" si="12"/>
        <v>Fall</v>
      </c>
      <c r="O217" s="1" t="str">
        <f t="shared" si="13"/>
        <v>20-40</v>
      </c>
      <c r="P217" s="1" t="str">
        <f t="shared" si="14"/>
        <v>No</v>
      </c>
      <c r="Q217" s="17" t="str">
        <f t="shared" si="15"/>
        <v>No Code</v>
      </c>
    </row>
    <row r="218" spans="1:17" x14ac:dyDescent="0.25">
      <c r="A218" s="8">
        <v>5068</v>
      </c>
      <c r="B218" s="8" t="s">
        <v>54</v>
      </c>
      <c r="C218" s="8" t="s">
        <v>196</v>
      </c>
      <c r="D218" s="10">
        <v>45871</v>
      </c>
      <c r="E218" s="8" t="s">
        <v>234</v>
      </c>
      <c r="F218" s="8" t="s">
        <v>223</v>
      </c>
      <c r="G218" s="1" t="str">
        <f>INDEX(Customers!B:B,MATCH(B218,Customers!A:A,0))</f>
        <v>Aisha Garba</v>
      </c>
      <c r="H218" s="1" t="str">
        <f>INDEX(Customers!E:E,MATCH(B218,Customers!A:A,0))</f>
        <v>Female</v>
      </c>
      <c r="I218" s="1">
        <f>INDEX(Customers!C:C,MATCH(B218,Customers!A:A,0))</f>
        <v>32</v>
      </c>
      <c r="J218" s="1" t="str">
        <f>INDEX(Customers!D:D,MATCH(B218,Customers!A:A,0))</f>
        <v>Lagos</v>
      </c>
      <c r="K218" s="1" t="str">
        <f>INDEX(Products!B:B,MATCH(C218,Products!A:A,0))</f>
        <v>Clothing</v>
      </c>
      <c r="L218" s="1" t="str">
        <f>INDEX(Products!C:C,MATCH(C218,Products!A:A,0))</f>
        <v>Wrap Skirt</v>
      </c>
      <c r="M218" s="1">
        <f>INDEX(Products!D:D,MATCH(C218,Products!A:A,0))</f>
        <v>42</v>
      </c>
      <c r="N218" s="1" t="str">
        <f t="shared" si="12"/>
        <v>Summer</v>
      </c>
      <c r="O218" s="1" t="str">
        <f t="shared" si="13"/>
        <v>20-40</v>
      </c>
      <c r="P218" s="1" t="str">
        <f t="shared" si="14"/>
        <v>Yes</v>
      </c>
      <c r="Q218" s="17" t="str">
        <f t="shared" si="15"/>
        <v>Used Code</v>
      </c>
    </row>
    <row r="219" spans="1:17" x14ac:dyDescent="0.25">
      <c r="A219" s="8">
        <v>5121</v>
      </c>
      <c r="B219" s="8" t="s">
        <v>55</v>
      </c>
      <c r="C219" s="8" t="s">
        <v>198</v>
      </c>
      <c r="D219" s="10">
        <v>46130</v>
      </c>
      <c r="E219" s="8" t="s">
        <v>352</v>
      </c>
      <c r="F219" s="8" t="s">
        <v>223</v>
      </c>
      <c r="G219" s="1" t="str">
        <f>INDEX(Customers!B:B,MATCH(B219,Customers!A:A,0))</f>
        <v>Adaeze Thomas</v>
      </c>
      <c r="H219" s="1" t="str">
        <f>INDEX(Customers!E:E,MATCH(B219,Customers!A:A,0))</f>
        <v>Female</v>
      </c>
      <c r="I219" s="1">
        <f>INDEX(Customers!C:C,MATCH(B219,Customers!A:A,0))</f>
        <v>40</v>
      </c>
      <c r="J219" s="1" t="str">
        <f>INDEX(Customers!D:D,MATCH(B219,Customers!A:A,0))</f>
        <v>Jos</v>
      </c>
      <c r="K219" s="1" t="str">
        <f>INDEX(Products!B:B,MATCH(C219,Products!A:A,0))</f>
        <v>Clothing</v>
      </c>
      <c r="L219" s="1" t="str">
        <f>INDEX(Products!C:C,MATCH(C219,Products!A:A,0))</f>
        <v>Knit Sweater</v>
      </c>
      <c r="M219" s="1">
        <f>INDEX(Products!D:D,MATCH(C219,Products!A:A,0))</f>
        <v>58</v>
      </c>
      <c r="N219" s="1" t="str">
        <f t="shared" si="12"/>
        <v>Spring</v>
      </c>
      <c r="O219" s="1" t="str">
        <f t="shared" si="13"/>
        <v>40-60</v>
      </c>
      <c r="P219" s="1" t="str">
        <f t="shared" si="14"/>
        <v>Yes</v>
      </c>
      <c r="Q219" s="17" t="str">
        <f t="shared" si="15"/>
        <v>Used Code</v>
      </c>
    </row>
    <row r="220" spans="1:17" x14ac:dyDescent="0.25">
      <c r="A220" s="8">
        <v>5165</v>
      </c>
      <c r="B220" s="8" t="s">
        <v>85</v>
      </c>
      <c r="C220" s="8" t="s">
        <v>188</v>
      </c>
      <c r="D220" s="10">
        <v>46130</v>
      </c>
      <c r="E220" s="8" t="s">
        <v>233</v>
      </c>
      <c r="F220" s="8"/>
      <c r="G220" s="1" t="str">
        <f>INDEX(Customers!B:B,MATCH(B220,Customers!A:A,0))</f>
        <v>Blessing Moore</v>
      </c>
      <c r="H220" s="1" t="str">
        <f>INDEX(Customers!E:E,MATCH(B220,Customers!A:A,0))</f>
        <v>Female</v>
      </c>
      <c r="I220" s="1">
        <f>INDEX(Customers!C:C,MATCH(B220,Customers!A:A,0))</f>
        <v>50</v>
      </c>
      <c r="J220" s="1" t="str">
        <f>INDEX(Customers!D:D,MATCH(B220,Customers!A:A,0))</f>
        <v>Owerri</v>
      </c>
      <c r="K220" s="1" t="str">
        <f>INDEX(Products!B:B,MATCH(C220,Products!A:A,0))</f>
        <v>Clothing</v>
      </c>
      <c r="L220" s="1" t="str">
        <f>INDEX(Products!C:C,MATCH(C220,Products!A:A,0))</f>
        <v>Linen Trousers</v>
      </c>
      <c r="M220" s="1">
        <f>INDEX(Products!D:D,MATCH(C220,Products!A:A,0))</f>
        <v>47</v>
      </c>
      <c r="N220" s="1" t="str">
        <f t="shared" si="12"/>
        <v>Spring</v>
      </c>
      <c r="O220" s="1" t="str">
        <f t="shared" si="13"/>
        <v>40-60</v>
      </c>
      <c r="P220" s="1" t="str">
        <f t="shared" si="14"/>
        <v>Yes</v>
      </c>
      <c r="Q220" s="17" t="str">
        <f t="shared" si="15"/>
        <v>No Code</v>
      </c>
    </row>
    <row r="221" spans="1:17" x14ac:dyDescent="0.25">
      <c r="A221" s="8">
        <v>5062</v>
      </c>
      <c r="B221" s="8" t="s">
        <v>124</v>
      </c>
      <c r="C221" s="8" t="s">
        <v>188</v>
      </c>
      <c r="D221" s="10">
        <v>46145</v>
      </c>
      <c r="E221" s="8" t="s">
        <v>231</v>
      </c>
      <c r="F221" s="8" t="s">
        <v>226</v>
      </c>
      <c r="G221" s="1" t="str">
        <f>INDEX(Customers!B:B,MATCH(B221,Customers!A:A,0))</f>
        <v>Emeka Eze</v>
      </c>
      <c r="H221" s="1" t="str">
        <f>INDEX(Customers!E:E,MATCH(B221,Customers!A:A,0))</f>
        <v>Male</v>
      </c>
      <c r="I221" s="1">
        <f>INDEX(Customers!C:C,MATCH(B221,Customers!A:A,0))</f>
        <v>44</v>
      </c>
      <c r="J221" s="1" t="str">
        <f>INDEX(Customers!D:D,MATCH(B221,Customers!A:A,0))</f>
        <v>Enugu</v>
      </c>
      <c r="K221" s="1" t="str">
        <f>INDEX(Products!B:B,MATCH(C221,Products!A:A,0))</f>
        <v>Clothing</v>
      </c>
      <c r="L221" s="1" t="str">
        <f>INDEX(Products!C:C,MATCH(C221,Products!A:A,0))</f>
        <v>Linen Trousers</v>
      </c>
      <c r="M221" s="1">
        <f>INDEX(Products!D:D,MATCH(C221,Products!A:A,0))</f>
        <v>47</v>
      </c>
      <c r="N221" s="1" t="str">
        <f t="shared" si="12"/>
        <v>Spring</v>
      </c>
      <c r="O221" s="1" t="str">
        <f t="shared" si="13"/>
        <v>40-60</v>
      </c>
      <c r="P221" s="1" t="str">
        <f t="shared" si="14"/>
        <v>No</v>
      </c>
      <c r="Q221" s="17" t="str">
        <f t="shared" si="15"/>
        <v>Used Code</v>
      </c>
    </row>
    <row r="222" spans="1:17" x14ac:dyDescent="0.25">
      <c r="A222" s="8">
        <v>5255</v>
      </c>
      <c r="B222" s="8" t="s">
        <v>156</v>
      </c>
      <c r="C222" s="8" t="s">
        <v>186</v>
      </c>
      <c r="D222" s="10">
        <v>46117</v>
      </c>
      <c r="E222" s="8" t="s">
        <v>353</v>
      </c>
      <c r="F222" s="8"/>
      <c r="G222" s="1" t="str">
        <f>INDEX(Customers!B:B,MATCH(B222,Customers!A:A,0))</f>
        <v>Daniel Thomas</v>
      </c>
      <c r="H222" s="1" t="str">
        <f>INDEX(Customers!E:E,MATCH(B222,Customers!A:A,0))</f>
        <v>Male</v>
      </c>
      <c r="I222" s="1">
        <f>INDEX(Customers!C:C,MATCH(B222,Customers!A:A,0))</f>
        <v>32</v>
      </c>
      <c r="J222" s="1" t="str">
        <f>INDEX(Customers!D:D,MATCH(B222,Customers!A:A,0))</f>
        <v>Abuja</v>
      </c>
      <c r="K222" s="1" t="str">
        <f>INDEX(Products!B:B,MATCH(C222,Products!A:A,0))</f>
        <v>Clothing</v>
      </c>
      <c r="L222" s="1" t="str">
        <f>INDEX(Products!C:C,MATCH(C222,Products!A:A,0))</f>
        <v>Maxi Gown</v>
      </c>
      <c r="M222" s="1">
        <f>INDEX(Products!D:D,MATCH(C222,Products!A:A,0))</f>
        <v>120</v>
      </c>
      <c r="N222" s="1" t="str">
        <f t="shared" si="12"/>
        <v>Spring</v>
      </c>
      <c r="O222" s="1" t="str">
        <f t="shared" si="13"/>
        <v>20-40</v>
      </c>
      <c r="P222" s="1" t="str">
        <f t="shared" si="14"/>
        <v>Yes</v>
      </c>
      <c r="Q222" s="17" t="str">
        <f t="shared" si="15"/>
        <v>No Code</v>
      </c>
    </row>
    <row r="223" spans="1:17" x14ac:dyDescent="0.25">
      <c r="A223" s="8">
        <v>5219</v>
      </c>
      <c r="B223" s="8" t="s">
        <v>48</v>
      </c>
      <c r="C223" s="8" t="s">
        <v>209</v>
      </c>
      <c r="D223" s="10">
        <v>45857</v>
      </c>
      <c r="E223" s="8" t="s">
        <v>233</v>
      </c>
      <c r="F223" s="8"/>
      <c r="G223" s="1" t="str">
        <f>INDEX(Customers!B:B,MATCH(B223,Customers!A:A,0))</f>
        <v>Michael Garba</v>
      </c>
      <c r="H223" s="1" t="str">
        <f>INDEX(Customers!E:E,MATCH(B223,Customers!A:A,0))</f>
        <v>Male</v>
      </c>
      <c r="I223" s="1">
        <f>INDEX(Customers!C:C,MATCH(B223,Customers!A:A,0))</f>
        <v>59</v>
      </c>
      <c r="J223" s="1" t="str">
        <f>INDEX(Customers!D:D,MATCH(B223,Customers!A:A,0))</f>
        <v>Unknown</v>
      </c>
      <c r="K223" s="1" t="str">
        <f>INDEX(Products!B:B,MATCH(C223,Products!A:A,0))</f>
        <v>Accessories</v>
      </c>
      <c r="L223" s="1" t="str">
        <f>INDEX(Products!C:C,MATCH(C223,Products!A:A,0))</f>
        <v>Tote Bag</v>
      </c>
      <c r="M223" s="1">
        <f>INDEX(Products!D:D,MATCH(C223,Products!A:A,0))</f>
        <v>62</v>
      </c>
      <c r="N223" s="1" t="str">
        <f t="shared" si="12"/>
        <v>Summer</v>
      </c>
      <c r="O223" s="1" t="str">
        <f t="shared" si="13"/>
        <v>40-60</v>
      </c>
      <c r="P223" s="1" t="str">
        <f t="shared" si="14"/>
        <v>Yes</v>
      </c>
      <c r="Q223" s="17" t="str">
        <f t="shared" si="15"/>
        <v>No Code</v>
      </c>
    </row>
    <row r="224" spans="1:17" x14ac:dyDescent="0.25">
      <c r="A224" s="8">
        <v>5099</v>
      </c>
      <c r="B224" s="8" t="s">
        <v>158</v>
      </c>
      <c r="C224" s="8" t="s">
        <v>188</v>
      </c>
      <c r="D224" s="10">
        <v>45856</v>
      </c>
      <c r="E224" s="8" t="s">
        <v>231</v>
      </c>
      <c r="F224" s="8"/>
      <c r="G224" s="1" t="str">
        <f>INDEX(Customers!B:B,MATCH(B224,Customers!A:A,0))</f>
        <v>Blessing Taylor</v>
      </c>
      <c r="H224" s="1" t="str">
        <f>INDEX(Customers!E:E,MATCH(B224,Customers!A:A,0))</f>
        <v>Female</v>
      </c>
      <c r="I224" s="1">
        <f>INDEX(Customers!C:C,MATCH(B224,Customers!A:A,0))</f>
        <v>39</v>
      </c>
      <c r="J224" s="1" t="str">
        <f>INDEX(Customers!D:D,MATCH(B224,Customers!A:A,0))</f>
        <v>Ilorin</v>
      </c>
      <c r="K224" s="1" t="str">
        <f>INDEX(Products!B:B,MATCH(C224,Products!A:A,0))</f>
        <v>Clothing</v>
      </c>
      <c r="L224" s="1" t="str">
        <f>INDEX(Products!C:C,MATCH(C224,Products!A:A,0))</f>
        <v>Linen Trousers</v>
      </c>
      <c r="M224" s="1">
        <f>INDEX(Products!D:D,MATCH(C224,Products!A:A,0))</f>
        <v>47</v>
      </c>
      <c r="N224" s="1" t="str">
        <f t="shared" si="12"/>
        <v>Summer</v>
      </c>
      <c r="O224" s="1" t="str">
        <f t="shared" si="13"/>
        <v>20-40</v>
      </c>
      <c r="P224" s="1" t="str">
        <f t="shared" si="14"/>
        <v>No</v>
      </c>
      <c r="Q224" s="17" t="str">
        <f t="shared" si="15"/>
        <v>No Code</v>
      </c>
    </row>
    <row r="225" spans="1:17" x14ac:dyDescent="0.25">
      <c r="A225" s="8">
        <v>5241</v>
      </c>
      <c r="B225" s="8" t="s">
        <v>136</v>
      </c>
      <c r="C225" s="8" t="s">
        <v>190</v>
      </c>
      <c r="D225" s="10">
        <v>45862</v>
      </c>
      <c r="E225" s="8" t="s">
        <v>231</v>
      </c>
      <c r="F225" s="8"/>
      <c r="G225" s="1" t="str">
        <f>INDEX(Customers!B:B,MATCH(B225,Customers!A:A,0))</f>
        <v>Rita Brown</v>
      </c>
      <c r="H225" s="1" t="str">
        <f>INDEX(Customers!E:E,MATCH(B225,Customers!A:A,0))</f>
        <v>Female</v>
      </c>
      <c r="I225" s="1">
        <f>INDEX(Customers!C:C,MATCH(B225,Customers!A:A,0))</f>
        <v>40</v>
      </c>
      <c r="J225" s="1" t="str">
        <f>INDEX(Customers!D:D,MATCH(B225,Customers!A:A,0))</f>
        <v>Port Harcourt</v>
      </c>
      <c r="K225" s="1" t="str">
        <f>INDEX(Products!B:B,MATCH(C225,Products!A:A,0))</f>
        <v>Clothing</v>
      </c>
      <c r="L225" s="1" t="str">
        <f>INDEX(Products!C:C,MATCH(C225,Products!A:A,0))</f>
        <v>Kaftan</v>
      </c>
      <c r="M225" s="1">
        <f>INDEX(Products!D:D,MATCH(C225,Products!A:A,0))</f>
        <v>89</v>
      </c>
      <c r="N225" s="1" t="str">
        <f t="shared" si="12"/>
        <v>Summer</v>
      </c>
      <c r="O225" s="1" t="str">
        <f t="shared" si="13"/>
        <v>40-60</v>
      </c>
      <c r="P225" s="1" t="str">
        <f t="shared" si="14"/>
        <v>No</v>
      </c>
      <c r="Q225" s="17" t="str">
        <f t="shared" si="15"/>
        <v>No Code</v>
      </c>
    </row>
    <row r="226" spans="1:17" x14ac:dyDescent="0.25">
      <c r="A226" s="8">
        <v>5057</v>
      </c>
      <c r="B226" s="8" t="s">
        <v>78</v>
      </c>
      <c r="C226" s="8" t="s">
        <v>209</v>
      </c>
      <c r="D226" s="10">
        <v>46073</v>
      </c>
      <c r="E226" s="8" t="s">
        <v>233</v>
      </c>
      <c r="F226" s="8" t="s">
        <v>224</v>
      </c>
      <c r="G226" s="1" t="str">
        <f>INDEX(Customers!B:B,MATCH(B226,Customers!A:A,0))</f>
        <v>Adaeze Smith</v>
      </c>
      <c r="H226" s="1" t="str">
        <f>INDEX(Customers!E:E,MATCH(B226,Customers!A:A,0))</f>
        <v>Female</v>
      </c>
      <c r="I226" s="1">
        <f>INDEX(Customers!C:C,MATCH(B226,Customers!A:A,0))</f>
        <v>31</v>
      </c>
      <c r="J226" s="1" t="str">
        <f>INDEX(Customers!D:D,MATCH(B226,Customers!A:A,0))</f>
        <v>Jos</v>
      </c>
      <c r="K226" s="1" t="str">
        <f>INDEX(Products!B:B,MATCH(C226,Products!A:A,0))</f>
        <v>Accessories</v>
      </c>
      <c r="L226" s="1" t="str">
        <f>INDEX(Products!C:C,MATCH(C226,Products!A:A,0))</f>
        <v>Tote Bag</v>
      </c>
      <c r="M226" s="1">
        <f>INDEX(Products!D:D,MATCH(C226,Products!A:A,0))</f>
        <v>62</v>
      </c>
      <c r="N226" s="1" t="str">
        <f t="shared" si="12"/>
        <v>Winter</v>
      </c>
      <c r="O226" s="1" t="str">
        <f t="shared" si="13"/>
        <v>20-40</v>
      </c>
      <c r="P226" s="1" t="str">
        <f t="shared" si="14"/>
        <v>No</v>
      </c>
      <c r="Q226" s="17" t="str">
        <f t="shared" si="15"/>
        <v>Used Code</v>
      </c>
    </row>
    <row r="227" spans="1:17" x14ac:dyDescent="0.25">
      <c r="A227" s="8">
        <v>5227</v>
      </c>
      <c r="B227" s="8" t="s">
        <v>239</v>
      </c>
      <c r="C227" s="8" t="s">
        <v>194</v>
      </c>
      <c r="D227" s="10">
        <v>45876</v>
      </c>
      <c r="E227" s="8" t="s">
        <v>352</v>
      </c>
      <c r="F227" s="8" t="s">
        <v>224</v>
      </c>
      <c r="G227" s="1" t="str">
        <f>INDEX(Customers!B:B,MATCH(B227,Customers!A:A,0))</f>
        <v>Halima Nwosu</v>
      </c>
      <c r="H227" s="1" t="str">
        <f>INDEX(Customers!E:E,MATCH(B227,Customers!A:A,0))</f>
        <v>Female</v>
      </c>
      <c r="I227" s="1">
        <f>INDEX(Customers!C:C,MATCH(B227,Customers!A:A,0))</f>
        <v>21</v>
      </c>
      <c r="J227" s="1" t="str">
        <f>INDEX(Customers!D:D,MATCH(B227,Customers!A:A,0))</f>
        <v>Calabar</v>
      </c>
      <c r="K227" s="1" t="str">
        <f>INDEX(Products!B:B,MATCH(C227,Products!A:A,0))</f>
        <v>Clothing</v>
      </c>
      <c r="L227" s="1" t="str">
        <f>INDEX(Products!C:C,MATCH(C227,Products!A:A,0))</f>
        <v>Jumpsuit</v>
      </c>
      <c r="M227" s="1">
        <f>INDEX(Products!D:D,MATCH(C227,Products!A:A,0))</f>
        <v>76</v>
      </c>
      <c r="N227" s="1" t="str">
        <f t="shared" si="12"/>
        <v>Summer</v>
      </c>
      <c r="O227" s="1" t="str">
        <f t="shared" si="13"/>
        <v>20-40</v>
      </c>
      <c r="P227" s="1" t="str">
        <f t="shared" si="14"/>
        <v>Yes</v>
      </c>
      <c r="Q227" s="17" t="str">
        <f t="shared" si="15"/>
        <v>Used Code</v>
      </c>
    </row>
    <row r="228" spans="1:17" x14ac:dyDescent="0.25">
      <c r="A228" s="8">
        <v>5274</v>
      </c>
      <c r="B228" s="8" t="s">
        <v>45</v>
      </c>
      <c r="C228" s="8" t="s">
        <v>213</v>
      </c>
      <c r="D228" s="10">
        <v>46008</v>
      </c>
      <c r="E228" s="8" t="s">
        <v>231</v>
      </c>
      <c r="F228" s="8" t="s">
        <v>223</v>
      </c>
      <c r="G228" s="1" t="str">
        <f>INDEX(Customers!B:B,MATCH(B228,Customers!A:A,0))</f>
        <v>Amara Smith</v>
      </c>
      <c r="H228" s="1" t="str">
        <f>INDEX(Customers!E:E,MATCH(B228,Customers!A:A,0))</f>
        <v>Female</v>
      </c>
      <c r="I228" s="1">
        <f>INDEX(Customers!C:C,MATCH(B228,Customers!A:A,0))</f>
        <v>26</v>
      </c>
      <c r="J228" s="1" t="str">
        <f>INDEX(Customers!D:D,MATCH(B228,Customers!A:A,0))</f>
        <v>Abeokuta</v>
      </c>
      <c r="K228" s="1" t="str">
        <f>INDEX(Products!B:B,MATCH(C228,Products!A:A,0))</f>
        <v>Accessories</v>
      </c>
      <c r="L228" s="1" t="str">
        <f>INDEX(Products!C:C,MATCH(C228,Products!A:A,0))</f>
        <v>Ankle Boots</v>
      </c>
      <c r="M228" s="1">
        <f>INDEX(Products!D:D,MATCH(C228,Products!A:A,0))</f>
        <v>110</v>
      </c>
      <c r="N228" s="1" t="str">
        <f t="shared" si="12"/>
        <v>Winter</v>
      </c>
      <c r="O228" s="1" t="str">
        <f t="shared" si="13"/>
        <v>20-40</v>
      </c>
      <c r="P228" s="1" t="str">
        <f t="shared" si="14"/>
        <v>Yes</v>
      </c>
      <c r="Q228" s="17" t="str">
        <f t="shared" si="15"/>
        <v>Used Code</v>
      </c>
    </row>
    <row r="229" spans="1:17" x14ac:dyDescent="0.25">
      <c r="A229" s="8">
        <v>5167</v>
      </c>
      <c r="B229" s="8" t="s">
        <v>134</v>
      </c>
      <c r="C229" s="8" t="s">
        <v>203</v>
      </c>
      <c r="D229" s="10">
        <v>46172</v>
      </c>
      <c r="E229" s="8" t="s">
        <v>231</v>
      </c>
      <c r="F229" s="8"/>
      <c r="G229" s="1" t="str">
        <f>INDEX(Customers!B:B,MATCH(B229,Customers!A:A,0))</f>
        <v>Emeka Martin</v>
      </c>
      <c r="H229" s="1" t="str">
        <f>INDEX(Customers!E:E,MATCH(B229,Customers!A:A,0))</f>
        <v>Male</v>
      </c>
      <c r="I229" s="1">
        <f>INDEX(Customers!C:C,MATCH(B229,Customers!A:A,0))</f>
        <v>30</v>
      </c>
      <c r="J229" s="1" t="str">
        <f>INDEX(Customers!D:D,MATCH(B229,Customers!A:A,0))</f>
        <v>Calabar</v>
      </c>
      <c r="K229" s="1" t="str">
        <f>INDEX(Products!B:B,MATCH(C229,Products!A:A,0))</f>
        <v>Accessories</v>
      </c>
      <c r="L229" s="1" t="str">
        <f>INDEX(Products!C:C,MATCH(C229,Products!A:A,0))</f>
        <v>Leather Handbag</v>
      </c>
      <c r="M229" s="1">
        <f>INDEX(Products!D:D,MATCH(C229,Products!A:A,0))</f>
        <v>145</v>
      </c>
      <c r="N229" s="1" t="str">
        <f t="shared" si="12"/>
        <v>Spring</v>
      </c>
      <c r="O229" s="1" t="str">
        <f t="shared" si="13"/>
        <v>20-40</v>
      </c>
      <c r="P229" s="1" t="str">
        <f t="shared" si="14"/>
        <v>Yes</v>
      </c>
      <c r="Q229" s="17" t="str">
        <f t="shared" si="15"/>
        <v>No Code</v>
      </c>
    </row>
    <row r="230" spans="1:17" x14ac:dyDescent="0.25">
      <c r="A230" s="8">
        <v>5265</v>
      </c>
      <c r="B230" s="8" t="s">
        <v>53</v>
      </c>
      <c r="C230" s="8" t="s">
        <v>194</v>
      </c>
      <c r="D230" s="10">
        <v>45897</v>
      </c>
      <c r="E230" s="8" t="s">
        <v>234</v>
      </c>
      <c r="F230" s="8" t="s">
        <v>225</v>
      </c>
      <c r="G230" s="1" t="str">
        <f>INDEX(Customers!B:B,MATCH(B230,Customers!A:A,0))</f>
        <v>Emily Harris</v>
      </c>
      <c r="H230" s="1" t="str">
        <f>INDEX(Customers!E:E,MATCH(B230,Customers!A:A,0))</f>
        <v>Female</v>
      </c>
      <c r="I230" s="1">
        <f>INDEX(Customers!C:C,MATCH(B230,Customers!A:A,0))</f>
        <v>50</v>
      </c>
      <c r="J230" s="1" t="str">
        <f>INDEX(Customers!D:D,MATCH(B230,Customers!A:A,0))</f>
        <v>Abeokuta</v>
      </c>
      <c r="K230" s="1" t="str">
        <f>INDEX(Products!B:B,MATCH(C230,Products!A:A,0))</f>
        <v>Clothing</v>
      </c>
      <c r="L230" s="1" t="str">
        <f>INDEX(Products!C:C,MATCH(C230,Products!A:A,0))</f>
        <v>Jumpsuit</v>
      </c>
      <c r="M230" s="1">
        <f>INDEX(Products!D:D,MATCH(C230,Products!A:A,0))</f>
        <v>76</v>
      </c>
      <c r="N230" s="1" t="str">
        <f t="shared" si="12"/>
        <v>Summer</v>
      </c>
      <c r="O230" s="1" t="str">
        <f t="shared" si="13"/>
        <v>40-60</v>
      </c>
      <c r="P230" s="1" t="str">
        <f t="shared" si="14"/>
        <v>Yes</v>
      </c>
      <c r="Q230" s="17" t="str">
        <f t="shared" si="15"/>
        <v>Used Code</v>
      </c>
    </row>
    <row r="231" spans="1:17" x14ac:dyDescent="0.25">
      <c r="A231" s="8">
        <v>5196</v>
      </c>
      <c r="B231" s="8" t="s">
        <v>40</v>
      </c>
      <c r="C231" s="8" t="s">
        <v>184</v>
      </c>
      <c r="D231" s="10">
        <v>46208</v>
      </c>
      <c r="E231" s="8" t="s">
        <v>231</v>
      </c>
      <c r="F231" s="8"/>
      <c r="G231" s="1" t="str">
        <f>INDEX(Customers!B:B,MATCH(B231,Customers!A:A,0))</f>
        <v>Peter Johnson</v>
      </c>
      <c r="H231" s="1" t="str">
        <f>INDEX(Customers!E:E,MATCH(B231,Customers!A:A,0))</f>
        <v>Male</v>
      </c>
      <c r="I231" s="1">
        <f>INDEX(Customers!C:C,MATCH(B231,Customers!A:A,0))</f>
        <v>35</v>
      </c>
      <c r="J231" s="1" t="str">
        <f>INDEX(Customers!D:D,MATCH(B231,Customers!A:A,0))</f>
        <v>Lagos</v>
      </c>
      <c r="K231" s="1" t="str">
        <f>INDEX(Products!B:B,MATCH(C231,Products!A:A,0))</f>
        <v>Clothing</v>
      </c>
      <c r="L231" s="1" t="str">
        <f>INDEX(Products!C:C,MATCH(C231,Products!A:A,0))</f>
        <v>Silk Blouse</v>
      </c>
      <c r="M231" s="1">
        <f>INDEX(Products!D:D,MATCH(C231,Products!A:A,0))</f>
        <v>54</v>
      </c>
      <c r="N231" s="1" t="str">
        <f t="shared" si="12"/>
        <v>Summer</v>
      </c>
      <c r="O231" s="1" t="str">
        <f t="shared" si="13"/>
        <v>20-40</v>
      </c>
      <c r="P231" s="1" t="str">
        <f t="shared" si="14"/>
        <v>Yes</v>
      </c>
      <c r="Q231" s="17" t="str">
        <f t="shared" si="15"/>
        <v>No Code</v>
      </c>
    </row>
    <row r="232" spans="1:17" x14ac:dyDescent="0.25">
      <c r="A232" s="8">
        <v>5239</v>
      </c>
      <c r="B232" s="8" t="s">
        <v>174</v>
      </c>
      <c r="C232" s="8" t="s">
        <v>182</v>
      </c>
      <c r="D232" s="10">
        <v>45942</v>
      </c>
      <c r="E232" s="8" t="s">
        <v>231</v>
      </c>
      <c r="F232" s="8" t="s">
        <v>224</v>
      </c>
      <c r="G232" s="1" t="str">
        <f>INDEX(Customers!B:B,MATCH(B232,Customers!A:A,0))</f>
        <v>Peter Suleiman</v>
      </c>
      <c r="H232" s="1" t="str">
        <f>INDEX(Customers!E:E,MATCH(B232,Customers!A:A,0))</f>
        <v>Male</v>
      </c>
      <c r="I232" s="1">
        <f>INDEX(Customers!C:C,MATCH(B232,Customers!A:A,0))</f>
        <v>38</v>
      </c>
      <c r="J232" s="1" t="str">
        <f>INDEX(Customers!D:D,MATCH(B232,Customers!A:A,0))</f>
        <v>Ibadan</v>
      </c>
      <c r="K232" s="1" t="str">
        <f>INDEX(Products!B:B,MATCH(C232,Products!A:A,0))</f>
        <v>Clothing</v>
      </c>
      <c r="L232" s="1" t="str">
        <f>INDEX(Products!C:C,MATCH(C232,Products!A:A,0))</f>
        <v>Denim Jacket</v>
      </c>
      <c r="M232" s="1">
        <f>INDEX(Products!D:D,MATCH(C232,Products!A:A,0))</f>
        <v>95</v>
      </c>
      <c r="N232" s="1" t="str">
        <f t="shared" si="12"/>
        <v>Fall</v>
      </c>
      <c r="O232" s="1" t="str">
        <f t="shared" si="13"/>
        <v>20-40</v>
      </c>
      <c r="P232" s="1" t="str">
        <f t="shared" si="14"/>
        <v>Yes</v>
      </c>
      <c r="Q232" s="17" t="str">
        <f t="shared" si="15"/>
        <v>Used Code</v>
      </c>
    </row>
    <row r="233" spans="1:17" x14ac:dyDescent="0.25">
      <c r="A233" s="8">
        <v>5284</v>
      </c>
      <c r="B233" s="8" t="s">
        <v>160</v>
      </c>
      <c r="C233" s="8" t="s">
        <v>213</v>
      </c>
      <c r="D233" s="10">
        <v>45892</v>
      </c>
      <c r="E233" s="8" t="s">
        <v>352</v>
      </c>
      <c r="F233" s="8"/>
      <c r="G233" s="1" t="str">
        <f>INDEX(Customers!B:B,MATCH(B233,Customers!A:A,0))</f>
        <v>Adaeze Eze</v>
      </c>
      <c r="H233" s="1" t="str">
        <f>INDEX(Customers!E:E,MATCH(B233,Customers!A:A,0))</f>
        <v>Female</v>
      </c>
      <c r="I233" s="1">
        <f>INDEX(Customers!C:C,MATCH(B233,Customers!A:A,0))</f>
        <v>18</v>
      </c>
      <c r="J233" s="1" t="str">
        <f>INDEX(Customers!D:D,MATCH(B233,Customers!A:A,0))</f>
        <v>Kaduna</v>
      </c>
      <c r="K233" s="1" t="str">
        <f>INDEX(Products!B:B,MATCH(C233,Products!A:A,0))</f>
        <v>Accessories</v>
      </c>
      <c r="L233" s="1" t="str">
        <f>INDEX(Products!C:C,MATCH(C233,Products!A:A,0))</f>
        <v>Ankle Boots</v>
      </c>
      <c r="M233" s="1">
        <f>INDEX(Products!D:D,MATCH(C233,Products!A:A,0))</f>
        <v>110</v>
      </c>
      <c r="N233" s="1" t="str">
        <f t="shared" si="12"/>
        <v>Summer</v>
      </c>
      <c r="O233" s="1" t="str">
        <f t="shared" si="13"/>
        <v>&lt;20</v>
      </c>
      <c r="P233" s="1" t="str">
        <f t="shared" si="14"/>
        <v>Yes</v>
      </c>
      <c r="Q233" s="17" t="str">
        <f t="shared" si="15"/>
        <v>No Code</v>
      </c>
    </row>
    <row r="234" spans="1:17" x14ac:dyDescent="0.25">
      <c r="A234" s="8">
        <v>5195</v>
      </c>
      <c r="B234" s="8" t="s">
        <v>40</v>
      </c>
      <c r="C234" s="8" t="s">
        <v>207</v>
      </c>
      <c r="D234" s="10">
        <v>46029</v>
      </c>
      <c r="E234" s="8" t="s">
        <v>352</v>
      </c>
      <c r="F234" s="8" t="s">
        <v>224</v>
      </c>
      <c r="G234" s="1" t="str">
        <f>INDEX(Customers!B:B,MATCH(B234,Customers!A:A,0))</f>
        <v>Peter Johnson</v>
      </c>
      <c r="H234" s="1" t="str">
        <f>INDEX(Customers!E:E,MATCH(B234,Customers!A:A,0))</f>
        <v>Male</v>
      </c>
      <c r="I234" s="1">
        <f>INDEX(Customers!C:C,MATCH(B234,Customers!A:A,0))</f>
        <v>35</v>
      </c>
      <c r="J234" s="1" t="str">
        <f>INDEX(Customers!D:D,MATCH(B234,Customers!A:A,0))</f>
        <v>Lagos</v>
      </c>
      <c r="K234" s="1" t="str">
        <f>INDEX(Products!B:B,MATCH(C234,Products!A:A,0))</f>
        <v>Accessories</v>
      </c>
      <c r="L234" s="1" t="str">
        <f>INDEX(Products!C:C,MATCH(C234,Products!A:A,0))</f>
        <v>Hair Scarf</v>
      </c>
      <c r="M234" s="1">
        <f>INDEX(Products!D:D,MATCH(C234,Products!A:A,0))</f>
        <v>15</v>
      </c>
      <c r="N234" s="1" t="str">
        <f t="shared" si="12"/>
        <v>Winter</v>
      </c>
      <c r="O234" s="1" t="str">
        <f t="shared" si="13"/>
        <v>20-40</v>
      </c>
      <c r="P234" s="1" t="str">
        <f t="shared" si="14"/>
        <v>Yes</v>
      </c>
      <c r="Q234" s="17" t="str">
        <f t="shared" si="15"/>
        <v>Used Code</v>
      </c>
    </row>
    <row r="235" spans="1:17" x14ac:dyDescent="0.25">
      <c r="A235" s="8">
        <v>5276</v>
      </c>
      <c r="B235" s="8" t="s">
        <v>236</v>
      </c>
      <c r="C235" s="8" t="s">
        <v>184</v>
      </c>
      <c r="D235" s="10">
        <v>46046</v>
      </c>
      <c r="E235" s="8" t="s">
        <v>233</v>
      </c>
      <c r="F235" s="8"/>
      <c r="G235" s="1" t="str">
        <f>INDEX(Customers!B:B,MATCH(B235,Customers!A:A,0))</f>
        <v>Michael Wilson</v>
      </c>
      <c r="H235" s="1" t="str">
        <f>INDEX(Customers!E:E,MATCH(B235,Customers!A:A,0))</f>
        <v>Male</v>
      </c>
      <c r="I235" s="1">
        <f>INDEX(Customers!C:C,MATCH(B235,Customers!A:A,0))</f>
        <v>46</v>
      </c>
      <c r="J235" s="1" t="str">
        <f>INDEX(Customers!D:D,MATCH(B235,Customers!A:A,0))</f>
        <v>Owerri</v>
      </c>
      <c r="K235" s="1" t="str">
        <f>INDEX(Products!B:B,MATCH(C235,Products!A:A,0))</f>
        <v>Clothing</v>
      </c>
      <c r="L235" s="1" t="str">
        <f>INDEX(Products!C:C,MATCH(C235,Products!A:A,0))</f>
        <v>Silk Blouse</v>
      </c>
      <c r="M235" s="1">
        <f>INDEX(Products!D:D,MATCH(C235,Products!A:A,0))</f>
        <v>54</v>
      </c>
      <c r="N235" s="1" t="str">
        <f t="shared" si="12"/>
        <v>Winter</v>
      </c>
      <c r="O235" s="1" t="str">
        <f t="shared" si="13"/>
        <v>40-60</v>
      </c>
      <c r="P235" s="1" t="str">
        <f t="shared" si="14"/>
        <v>Yes</v>
      </c>
      <c r="Q235" s="17" t="str">
        <f t="shared" si="15"/>
        <v>No Code</v>
      </c>
    </row>
    <row r="236" spans="1:17" x14ac:dyDescent="0.25">
      <c r="A236" s="8">
        <v>5254</v>
      </c>
      <c r="B236" s="8" t="s">
        <v>150</v>
      </c>
      <c r="C236" s="8" t="s">
        <v>179</v>
      </c>
      <c r="D236" s="10">
        <v>45830</v>
      </c>
      <c r="E236" s="8" t="s">
        <v>352</v>
      </c>
      <c r="F236" s="8"/>
      <c r="G236" s="1" t="str">
        <f>INDEX(Customers!B:B,MATCH(B236,Customers!A:A,0))</f>
        <v>Musa Smith</v>
      </c>
      <c r="H236" s="1" t="str">
        <f>INDEX(Customers!E:E,MATCH(B236,Customers!A:A,0))</f>
        <v>Male</v>
      </c>
      <c r="I236" s="1">
        <f>INDEX(Customers!C:C,MATCH(B236,Customers!A:A,0))</f>
        <v>43</v>
      </c>
      <c r="J236" s="1" t="str">
        <f>INDEX(Customers!D:D,MATCH(B236,Customers!A:A,0))</f>
        <v>Lagos</v>
      </c>
      <c r="K236" s="1" t="str">
        <f>INDEX(Products!B:B,MATCH(C236,Products!A:A,0))</f>
        <v>Clothing</v>
      </c>
      <c r="L236" s="1" t="str">
        <f>INDEX(Products!C:C,MATCH(C236,Products!A:A,0))</f>
        <v>Ankara Dress</v>
      </c>
      <c r="M236" s="1">
        <f>INDEX(Products!D:D,MATCH(C236,Products!A:A,0))</f>
        <v>68</v>
      </c>
      <c r="N236" s="1" t="str">
        <f t="shared" si="12"/>
        <v>Summer</v>
      </c>
      <c r="O236" s="1" t="str">
        <f t="shared" si="13"/>
        <v>40-60</v>
      </c>
      <c r="P236" s="1" t="str">
        <f t="shared" si="14"/>
        <v>No</v>
      </c>
      <c r="Q236" s="17" t="str">
        <f t="shared" si="15"/>
        <v>No Code</v>
      </c>
    </row>
    <row r="237" spans="1:17" x14ac:dyDescent="0.25">
      <c r="A237" s="8">
        <v>5204</v>
      </c>
      <c r="B237" s="8" t="s">
        <v>115</v>
      </c>
      <c r="C237" s="8" t="s">
        <v>198</v>
      </c>
      <c r="D237" s="10">
        <v>45964</v>
      </c>
      <c r="E237" s="8" t="s">
        <v>231</v>
      </c>
      <c r="F237" s="8"/>
      <c r="G237" s="1" t="str">
        <f>INDEX(Customers!B:B,MATCH(B237,Customers!A:A,0))</f>
        <v>Fatima Chukwu</v>
      </c>
      <c r="H237" s="1" t="str">
        <f>INDEX(Customers!E:E,MATCH(B237,Customers!A:A,0))</f>
        <v>Female</v>
      </c>
      <c r="I237" s="1">
        <f>INDEX(Customers!C:C,MATCH(B237,Customers!A:A,0))</f>
        <v>34</v>
      </c>
      <c r="J237" s="1" t="str">
        <f>INDEX(Customers!D:D,MATCH(B237,Customers!A:A,0))</f>
        <v>Abuja</v>
      </c>
      <c r="K237" s="1" t="str">
        <f>INDEX(Products!B:B,MATCH(C237,Products!A:A,0))</f>
        <v>Clothing</v>
      </c>
      <c r="L237" s="1" t="str">
        <f>INDEX(Products!C:C,MATCH(C237,Products!A:A,0))</f>
        <v>Knit Sweater</v>
      </c>
      <c r="M237" s="1">
        <f>INDEX(Products!D:D,MATCH(C237,Products!A:A,0))</f>
        <v>58</v>
      </c>
      <c r="N237" s="1" t="str">
        <f t="shared" si="12"/>
        <v>Fall</v>
      </c>
      <c r="O237" s="1" t="str">
        <f t="shared" si="13"/>
        <v>20-40</v>
      </c>
      <c r="P237" s="1" t="str">
        <f t="shared" si="14"/>
        <v>Yes</v>
      </c>
      <c r="Q237" s="17" t="str">
        <f t="shared" si="15"/>
        <v>No Code</v>
      </c>
    </row>
    <row r="238" spans="1:17" x14ac:dyDescent="0.25">
      <c r="A238" s="8">
        <v>5233</v>
      </c>
      <c r="B238" s="8" t="s">
        <v>30</v>
      </c>
      <c r="C238" s="8" t="s">
        <v>207</v>
      </c>
      <c r="D238" s="10">
        <v>46006</v>
      </c>
      <c r="E238" s="8" t="s">
        <v>352</v>
      </c>
      <c r="F238" s="8" t="s">
        <v>225</v>
      </c>
      <c r="G238" s="1" t="str">
        <f>INDEX(Customers!B:B,MATCH(B238,Customers!A:A,0))</f>
        <v>Yusuf Garba</v>
      </c>
      <c r="H238" s="1" t="str">
        <f>INDEX(Customers!E:E,MATCH(B238,Customers!A:A,0))</f>
        <v>Male</v>
      </c>
      <c r="I238" s="1">
        <f>INDEX(Customers!C:C,MATCH(B238,Customers!A:A,0))</f>
        <v>36</v>
      </c>
      <c r="J238" s="1" t="str">
        <f>INDEX(Customers!D:D,MATCH(B238,Customers!A:A,0))</f>
        <v>Uyo</v>
      </c>
      <c r="K238" s="1" t="str">
        <f>INDEX(Products!B:B,MATCH(C238,Products!A:A,0))</f>
        <v>Accessories</v>
      </c>
      <c r="L238" s="1" t="str">
        <f>INDEX(Products!C:C,MATCH(C238,Products!A:A,0))</f>
        <v>Hair Scarf</v>
      </c>
      <c r="M238" s="1">
        <f>INDEX(Products!D:D,MATCH(C238,Products!A:A,0))</f>
        <v>15</v>
      </c>
      <c r="N238" s="1" t="str">
        <f t="shared" si="12"/>
        <v>Winter</v>
      </c>
      <c r="O238" s="1" t="str">
        <f t="shared" si="13"/>
        <v>20-40</v>
      </c>
      <c r="P238" s="1" t="str">
        <f t="shared" si="14"/>
        <v>Yes</v>
      </c>
      <c r="Q238" s="17" t="str">
        <f t="shared" si="15"/>
        <v>Used Code</v>
      </c>
    </row>
    <row r="239" spans="1:17" x14ac:dyDescent="0.25">
      <c r="A239" s="8">
        <v>5064</v>
      </c>
      <c r="B239" s="8" t="s">
        <v>108</v>
      </c>
      <c r="C239" s="8" t="s">
        <v>194</v>
      </c>
      <c r="D239" s="10">
        <v>45980</v>
      </c>
      <c r="E239" s="8" t="s">
        <v>353</v>
      </c>
      <c r="F239" s="8"/>
      <c r="G239" s="1" t="str">
        <f>INDEX(Customers!B:B,MATCH(B239,Customers!A:A,0))</f>
        <v>John Adeyemi</v>
      </c>
      <c r="H239" s="1" t="str">
        <f>INDEX(Customers!E:E,MATCH(B239,Customers!A:A,0))</f>
        <v>Male</v>
      </c>
      <c r="I239" s="1">
        <f>INDEX(Customers!C:C,MATCH(B239,Customers!A:A,0))</f>
        <v>23</v>
      </c>
      <c r="J239" s="1" t="str">
        <f>INDEX(Customers!D:D,MATCH(B239,Customers!A:A,0))</f>
        <v>Port Harcourt</v>
      </c>
      <c r="K239" s="1" t="str">
        <f>INDEX(Products!B:B,MATCH(C239,Products!A:A,0))</f>
        <v>Clothing</v>
      </c>
      <c r="L239" s="1" t="str">
        <f>INDEX(Products!C:C,MATCH(C239,Products!A:A,0))</f>
        <v>Jumpsuit</v>
      </c>
      <c r="M239" s="1">
        <f>INDEX(Products!D:D,MATCH(C239,Products!A:A,0))</f>
        <v>76</v>
      </c>
      <c r="N239" s="1" t="str">
        <f t="shared" si="12"/>
        <v>Fall</v>
      </c>
      <c r="O239" s="1" t="str">
        <f t="shared" si="13"/>
        <v>20-40</v>
      </c>
      <c r="P239" s="1" t="str">
        <f t="shared" si="14"/>
        <v>Yes</v>
      </c>
      <c r="Q239" s="17" t="str">
        <f t="shared" si="15"/>
        <v>No Code</v>
      </c>
    </row>
    <row r="240" spans="1:17" x14ac:dyDescent="0.25">
      <c r="A240" s="8">
        <v>5224</v>
      </c>
      <c r="B240" s="8" t="s">
        <v>239</v>
      </c>
      <c r="C240" s="8" t="s">
        <v>179</v>
      </c>
      <c r="D240" s="10">
        <v>45863</v>
      </c>
      <c r="E240" s="8" t="s">
        <v>234</v>
      </c>
      <c r="F240" s="8"/>
      <c r="G240" s="1" t="str">
        <f>INDEX(Customers!B:B,MATCH(B240,Customers!A:A,0))</f>
        <v>Halima Nwosu</v>
      </c>
      <c r="H240" s="1" t="str">
        <f>INDEX(Customers!E:E,MATCH(B240,Customers!A:A,0))</f>
        <v>Female</v>
      </c>
      <c r="I240" s="1">
        <f>INDEX(Customers!C:C,MATCH(B240,Customers!A:A,0))</f>
        <v>21</v>
      </c>
      <c r="J240" s="1" t="str">
        <f>INDEX(Customers!D:D,MATCH(B240,Customers!A:A,0))</f>
        <v>Calabar</v>
      </c>
      <c r="K240" s="1" t="str">
        <f>INDEX(Products!B:B,MATCH(C240,Products!A:A,0))</f>
        <v>Clothing</v>
      </c>
      <c r="L240" s="1" t="str">
        <f>INDEX(Products!C:C,MATCH(C240,Products!A:A,0))</f>
        <v>Ankara Dress</v>
      </c>
      <c r="M240" s="1">
        <f>INDEX(Products!D:D,MATCH(C240,Products!A:A,0))</f>
        <v>68</v>
      </c>
      <c r="N240" s="1" t="str">
        <f t="shared" si="12"/>
        <v>Summer</v>
      </c>
      <c r="O240" s="1" t="str">
        <f t="shared" si="13"/>
        <v>20-40</v>
      </c>
      <c r="P240" s="1" t="str">
        <f t="shared" si="14"/>
        <v>Yes</v>
      </c>
      <c r="Q240" s="17" t="str">
        <f t="shared" si="15"/>
        <v>No Code</v>
      </c>
    </row>
    <row r="241" spans="1:17" x14ac:dyDescent="0.25">
      <c r="A241" s="8">
        <v>5029</v>
      </c>
      <c r="B241" s="8" t="s">
        <v>83</v>
      </c>
      <c r="C241" s="8" t="s">
        <v>219</v>
      </c>
      <c r="D241" s="10">
        <v>45928</v>
      </c>
      <c r="E241" s="8" t="s">
        <v>353</v>
      </c>
      <c r="F241" s="8"/>
      <c r="G241" s="1" t="str">
        <f>INDEX(Customers!B:B,MATCH(B241,Customers!A:A,0))</f>
        <v>Linda Smith</v>
      </c>
      <c r="H241" s="1" t="str">
        <f>INDEX(Customers!E:E,MATCH(B241,Customers!A:A,0))</f>
        <v>Female</v>
      </c>
      <c r="I241" s="1">
        <f>INDEX(Customers!C:C,MATCH(B241,Customers!A:A,0))</f>
        <v>57</v>
      </c>
      <c r="J241" s="1" t="str">
        <f>INDEX(Customers!D:D,MATCH(B241,Customers!A:A,0))</f>
        <v>Ibadan</v>
      </c>
      <c r="K241" s="1" t="str">
        <f>INDEX(Products!B:B,MATCH(C241,Products!A:A,0))</f>
        <v>Accessories</v>
      </c>
      <c r="L241" s="1" t="str">
        <f>INDEX(Products!C:C,MATCH(C241,Products!A:A,0))</f>
        <v>Waist Belt</v>
      </c>
      <c r="M241" s="1">
        <f>INDEX(Products!D:D,MATCH(C241,Products!A:A,0))</f>
        <v>33</v>
      </c>
      <c r="N241" s="1" t="str">
        <f t="shared" si="12"/>
        <v>Fall</v>
      </c>
      <c r="O241" s="1" t="str">
        <f t="shared" si="13"/>
        <v>40-60</v>
      </c>
      <c r="P241" s="1" t="str">
        <f t="shared" si="14"/>
        <v>Yes</v>
      </c>
      <c r="Q241" s="17" t="str">
        <f t="shared" si="15"/>
        <v>No Code</v>
      </c>
    </row>
    <row r="242" spans="1:17" x14ac:dyDescent="0.25">
      <c r="A242" s="8">
        <v>5170</v>
      </c>
      <c r="B242" s="8" t="s">
        <v>164</v>
      </c>
      <c r="C242" s="8" t="s">
        <v>179</v>
      </c>
      <c r="D242" s="10">
        <v>45943</v>
      </c>
      <c r="E242" s="8" t="s">
        <v>353</v>
      </c>
      <c r="F242" s="8" t="s">
        <v>224</v>
      </c>
      <c r="G242" s="1" t="str">
        <f>INDEX(Customers!B:B,MATCH(B242,Customers!A:A,0))</f>
        <v>Peter Johnson</v>
      </c>
      <c r="H242" s="1" t="str">
        <f>INDEX(Customers!E:E,MATCH(B242,Customers!A:A,0))</f>
        <v>Male</v>
      </c>
      <c r="I242" s="1">
        <f>INDEX(Customers!C:C,MATCH(B242,Customers!A:A,0))</f>
        <v>39</v>
      </c>
      <c r="J242" s="1" t="str">
        <f>INDEX(Customers!D:D,MATCH(B242,Customers!A:A,0))</f>
        <v>Ibadan</v>
      </c>
      <c r="K242" s="1" t="str">
        <f>INDEX(Products!B:B,MATCH(C242,Products!A:A,0))</f>
        <v>Clothing</v>
      </c>
      <c r="L242" s="1" t="str">
        <f>INDEX(Products!C:C,MATCH(C242,Products!A:A,0))</f>
        <v>Ankara Dress</v>
      </c>
      <c r="M242" s="1">
        <f>INDEX(Products!D:D,MATCH(C242,Products!A:A,0))</f>
        <v>68</v>
      </c>
      <c r="N242" s="1" t="str">
        <f t="shared" si="12"/>
        <v>Fall</v>
      </c>
      <c r="O242" s="1" t="str">
        <f t="shared" si="13"/>
        <v>20-40</v>
      </c>
      <c r="P242" s="1" t="str">
        <f t="shared" si="14"/>
        <v>No</v>
      </c>
      <c r="Q242" s="17" t="str">
        <f t="shared" si="15"/>
        <v>Used Code</v>
      </c>
    </row>
    <row r="243" spans="1:17" x14ac:dyDescent="0.25">
      <c r="A243" s="8">
        <v>5134</v>
      </c>
      <c r="B243" s="8" t="s">
        <v>51</v>
      </c>
      <c r="C243" s="8" t="s">
        <v>196</v>
      </c>
      <c r="D243" s="10">
        <v>46141</v>
      </c>
      <c r="E243" s="8" t="s">
        <v>233</v>
      </c>
      <c r="F243" s="8"/>
      <c r="G243" s="1" t="str">
        <f>INDEX(Customers!B:B,MATCH(B243,Customers!A:A,0))</f>
        <v>Linda Martin</v>
      </c>
      <c r="H243" s="1" t="str">
        <f>INDEX(Customers!E:E,MATCH(B243,Customers!A:A,0))</f>
        <v>Female</v>
      </c>
      <c r="I243" s="1">
        <f>INDEX(Customers!C:C,MATCH(B243,Customers!A:A,0))</f>
        <v>47</v>
      </c>
      <c r="J243" s="1" t="str">
        <f>INDEX(Customers!D:D,MATCH(B243,Customers!A:A,0))</f>
        <v>Jos</v>
      </c>
      <c r="K243" s="1" t="str">
        <f>INDEX(Products!B:B,MATCH(C243,Products!A:A,0))</f>
        <v>Clothing</v>
      </c>
      <c r="L243" s="1" t="str">
        <f>INDEX(Products!C:C,MATCH(C243,Products!A:A,0))</f>
        <v>Wrap Skirt</v>
      </c>
      <c r="M243" s="1">
        <f>INDEX(Products!D:D,MATCH(C243,Products!A:A,0))</f>
        <v>42</v>
      </c>
      <c r="N243" s="1" t="str">
        <f t="shared" si="12"/>
        <v>Spring</v>
      </c>
      <c r="O243" s="1" t="str">
        <f t="shared" si="13"/>
        <v>40-60</v>
      </c>
      <c r="P243" s="1" t="str">
        <f t="shared" si="14"/>
        <v>No</v>
      </c>
      <c r="Q243" s="17" t="str">
        <f t="shared" si="15"/>
        <v>No Code</v>
      </c>
    </row>
    <row r="244" spans="1:17" x14ac:dyDescent="0.25">
      <c r="A244" s="8">
        <v>5043</v>
      </c>
      <c r="B244" s="8" t="s">
        <v>146</v>
      </c>
      <c r="C244" s="8" t="s">
        <v>203</v>
      </c>
      <c r="D244" s="10">
        <v>45940</v>
      </c>
      <c r="E244" s="8" t="s">
        <v>353</v>
      </c>
      <c r="F244" s="8" t="s">
        <v>226</v>
      </c>
      <c r="G244" s="1" t="str">
        <f>INDEX(Customers!B:B,MATCH(B244,Customers!A:A,0))</f>
        <v>Chukwudi Uche</v>
      </c>
      <c r="H244" s="1" t="str">
        <f>INDEX(Customers!E:E,MATCH(B244,Customers!A:A,0))</f>
        <v>Male</v>
      </c>
      <c r="I244" s="1">
        <f>INDEX(Customers!C:C,MATCH(B244,Customers!A:A,0))</f>
        <v>55</v>
      </c>
      <c r="J244" s="1" t="str">
        <f>INDEX(Customers!D:D,MATCH(B244,Customers!A:A,0))</f>
        <v>Jos</v>
      </c>
      <c r="K244" s="1" t="str">
        <f>INDEX(Products!B:B,MATCH(C244,Products!A:A,0))</f>
        <v>Accessories</v>
      </c>
      <c r="L244" s="1" t="str">
        <f>INDEX(Products!C:C,MATCH(C244,Products!A:A,0))</f>
        <v>Leather Handbag</v>
      </c>
      <c r="M244" s="1">
        <f>INDEX(Products!D:D,MATCH(C244,Products!A:A,0))</f>
        <v>145</v>
      </c>
      <c r="N244" s="1" t="str">
        <f t="shared" si="12"/>
        <v>Fall</v>
      </c>
      <c r="O244" s="1" t="str">
        <f t="shared" si="13"/>
        <v>40-60</v>
      </c>
      <c r="P244" s="1" t="str">
        <f t="shared" si="14"/>
        <v>Yes</v>
      </c>
      <c r="Q244" s="17" t="str">
        <f t="shared" si="15"/>
        <v>Used Code</v>
      </c>
    </row>
    <row r="245" spans="1:17" x14ac:dyDescent="0.25">
      <c r="A245" s="8">
        <v>5094</v>
      </c>
      <c r="B245" s="8" t="s">
        <v>243</v>
      </c>
      <c r="C245" s="8" t="s">
        <v>209</v>
      </c>
      <c r="D245" s="10">
        <v>45964</v>
      </c>
      <c r="E245" s="8" t="s">
        <v>353</v>
      </c>
      <c r="F245" s="8"/>
      <c r="G245" s="1" t="str">
        <f>INDEX(Customers!B:B,MATCH(B245,Customers!A:A,0))</f>
        <v>Chioma Balogun</v>
      </c>
      <c r="H245" s="1" t="str">
        <f>INDEX(Customers!E:E,MATCH(B245,Customers!A:A,0))</f>
        <v>Female</v>
      </c>
      <c r="I245" s="1">
        <f>INDEX(Customers!C:C,MATCH(B245,Customers!A:A,0))</f>
        <v>34</v>
      </c>
      <c r="J245" s="1" t="str">
        <f>INDEX(Customers!D:D,MATCH(B245,Customers!A:A,0))</f>
        <v>Kaduna</v>
      </c>
      <c r="K245" s="1" t="str">
        <f>INDEX(Products!B:B,MATCH(C245,Products!A:A,0))</f>
        <v>Accessories</v>
      </c>
      <c r="L245" s="1" t="str">
        <f>INDEX(Products!C:C,MATCH(C245,Products!A:A,0))</f>
        <v>Tote Bag</v>
      </c>
      <c r="M245" s="1">
        <f>INDEX(Products!D:D,MATCH(C245,Products!A:A,0))</f>
        <v>62</v>
      </c>
      <c r="N245" s="1" t="str">
        <f t="shared" si="12"/>
        <v>Fall</v>
      </c>
      <c r="O245" s="1" t="str">
        <f t="shared" si="13"/>
        <v>20-40</v>
      </c>
      <c r="P245" s="1" t="str">
        <f t="shared" si="14"/>
        <v>No</v>
      </c>
      <c r="Q245" s="17" t="str">
        <f t="shared" si="15"/>
        <v>No Code</v>
      </c>
    </row>
    <row r="246" spans="1:17" x14ac:dyDescent="0.25">
      <c r="A246" s="8">
        <v>5258</v>
      </c>
      <c r="B246" s="8" t="s">
        <v>156</v>
      </c>
      <c r="C246" s="8" t="s">
        <v>217</v>
      </c>
      <c r="D246" s="10">
        <v>46150</v>
      </c>
      <c r="E246" s="8" t="s">
        <v>231</v>
      </c>
      <c r="F246" s="8" t="s">
        <v>225</v>
      </c>
      <c r="G246" s="1" t="str">
        <f>INDEX(Customers!B:B,MATCH(B246,Customers!A:A,0))</f>
        <v>Daniel Thomas</v>
      </c>
      <c r="H246" s="1" t="str">
        <f>INDEX(Customers!E:E,MATCH(B246,Customers!A:A,0))</f>
        <v>Male</v>
      </c>
      <c r="I246" s="1">
        <f>INDEX(Customers!C:C,MATCH(B246,Customers!A:A,0))</f>
        <v>32</v>
      </c>
      <c r="J246" s="1" t="str">
        <f>INDEX(Customers!D:D,MATCH(B246,Customers!A:A,0))</f>
        <v>Abuja</v>
      </c>
      <c r="K246" s="1" t="str">
        <f>INDEX(Products!B:B,MATCH(C246,Products!A:A,0))</f>
        <v>Accessories</v>
      </c>
      <c r="L246" s="1" t="str">
        <f>INDEX(Products!C:C,MATCH(C246,Products!A:A,0))</f>
        <v>Earrings</v>
      </c>
      <c r="M246" s="1">
        <f>INDEX(Products!D:D,MATCH(C246,Products!A:A,0))</f>
        <v>19</v>
      </c>
      <c r="N246" s="1" t="str">
        <f t="shared" si="12"/>
        <v>Spring</v>
      </c>
      <c r="O246" s="1" t="str">
        <f t="shared" si="13"/>
        <v>20-40</v>
      </c>
      <c r="P246" s="1" t="str">
        <f t="shared" si="14"/>
        <v>Yes</v>
      </c>
      <c r="Q246" s="17" t="str">
        <f t="shared" si="15"/>
        <v>Used Code</v>
      </c>
    </row>
    <row r="247" spans="1:17" x14ac:dyDescent="0.25">
      <c r="A247" s="8">
        <v>5129</v>
      </c>
      <c r="B247" s="8" t="s">
        <v>16</v>
      </c>
      <c r="C247" s="8" t="s">
        <v>190</v>
      </c>
      <c r="D247" s="10">
        <v>45893</v>
      </c>
      <c r="E247" s="8" t="s">
        <v>353</v>
      </c>
      <c r="F247" s="8" t="s">
        <v>225</v>
      </c>
      <c r="G247" s="1" t="str">
        <f>INDEX(Customers!B:B,MATCH(B247,Customers!A:A,0))</f>
        <v>Ifeoma Chukwu</v>
      </c>
      <c r="H247" s="1" t="str">
        <f>INDEX(Customers!E:E,MATCH(B247,Customers!A:A,0))</f>
        <v>Female</v>
      </c>
      <c r="I247" s="1">
        <f>INDEX(Customers!C:C,MATCH(B247,Customers!A:A,0))</f>
        <v>58</v>
      </c>
      <c r="J247" s="1" t="str">
        <f>INDEX(Customers!D:D,MATCH(B247,Customers!A:A,0))</f>
        <v>Enugu</v>
      </c>
      <c r="K247" s="1" t="str">
        <f>INDEX(Products!B:B,MATCH(C247,Products!A:A,0))</f>
        <v>Clothing</v>
      </c>
      <c r="L247" s="1" t="str">
        <f>INDEX(Products!C:C,MATCH(C247,Products!A:A,0))</f>
        <v>Kaftan</v>
      </c>
      <c r="M247" s="1">
        <f>INDEX(Products!D:D,MATCH(C247,Products!A:A,0))</f>
        <v>89</v>
      </c>
      <c r="N247" s="1" t="str">
        <f t="shared" si="12"/>
        <v>Summer</v>
      </c>
      <c r="O247" s="1" t="str">
        <f t="shared" si="13"/>
        <v>40-60</v>
      </c>
      <c r="P247" s="1" t="str">
        <f t="shared" si="14"/>
        <v>No</v>
      </c>
      <c r="Q247" s="17" t="str">
        <f t="shared" si="15"/>
        <v>Used Code</v>
      </c>
    </row>
    <row r="248" spans="1:17" x14ac:dyDescent="0.25">
      <c r="A248" s="8">
        <v>5190</v>
      </c>
      <c r="B248" s="8" t="s">
        <v>106</v>
      </c>
      <c r="C248" s="8" t="s">
        <v>209</v>
      </c>
      <c r="D248" s="10">
        <v>46148</v>
      </c>
      <c r="E248" s="8" t="s">
        <v>233</v>
      </c>
      <c r="F248" s="8" t="s">
        <v>226</v>
      </c>
      <c r="G248" s="1" t="str">
        <f>INDEX(Customers!B:B,MATCH(B248,Customers!A:A,0))</f>
        <v>Grace Johnson</v>
      </c>
      <c r="H248" s="1" t="str">
        <f>INDEX(Customers!E:E,MATCH(B248,Customers!A:A,0))</f>
        <v>Female</v>
      </c>
      <c r="I248" s="1">
        <f>INDEX(Customers!C:C,MATCH(B248,Customers!A:A,0))</f>
        <v>34</v>
      </c>
      <c r="J248" s="1" t="str">
        <f>INDEX(Customers!D:D,MATCH(B248,Customers!A:A,0))</f>
        <v>Kano</v>
      </c>
      <c r="K248" s="1" t="str">
        <f>INDEX(Products!B:B,MATCH(C248,Products!A:A,0))</f>
        <v>Accessories</v>
      </c>
      <c r="L248" s="1" t="str">
        <f>INDEX(Products!C:C,MATCH(C248,Products!A:A,0))</f>
        <v>Tote Bag</v>
      </c>
      <c r="M248" s="1">
        <f>INDEX(Products!D:D,MATCH(C248,Products!A:A,0))</f>
        <v>62</v>
      </c>
      <c r="N248" s="1" t="str">
        <f t="shared" si="12"/>
        <v>Spring</v>
      </c>
      <c r="O248" s="1" t="str">
        <f t="shared" si="13"/>
        <v>20-40</v>
      </c>
      <c r="P248" s="1" t="str">
        <f t="shared" si="14"/>
        <v>Yes</v>
      </c>
      <c r="Q248" s="17" t="str">
        <f t="shared" si="15"/>
        <v>Used Code</v>
      </c>
    </row>
    <row r="249" spans="1:17" x14ac:dyDescent="0.25">
      <c r="A249" s="8">
        <v>5071</v>
      </c>
      <c r="B249" s="8" t="s">
        <v>113</v>
      </c>
      <c r="C249" s="8" t="s">
        <v>205</v>
      </c>
      <c r="D249" s="10">
        <v>45912</v>
      </c>
      <c r="E249" s="8" t="s">
        <v>352</v>
      </c>
      <c r="F249" s="8"/>
      <c r="G249" s="1" t="str">
        <f>INDEX(Customers!B:B,MATCH(B249,Customers!A:A,0))</f>
        <v>Musa Williams</v>
      </c>
      <c r="H249" s="1" t="str">
        <f>INDEX(Customers!E:E,MATCH(B249,Customers!A:A,0))</f>
        <v>Male</v>
      </c>
      <c r="I249" s="1">
        <f>INDEX(Customers!C:C,MATCH(B249,Customers!A:A,0))</f>
        <v>34</v>
      </c>
      <c r="J249" s="1" t="str">
        <f>INDEX(Customers!D:D,MATCH(B249,Customers!A:A,0))</f>
        <v>Kano</v>
      </c>
      <c r="K249" s="1" t="str">
        <f>INDEX(Products!B:B,MATCH(C249,Products!A:A,0))</f>
        <v>Accessories</v>
      </c>
      <c r="L249" s="1" t="str">
        <f>INDEX(Products!C:C,MATCH(C249,Products!A:A,0))</f>
        <v>Sunglasses</v>
      </c>
      <c r="M249" s="1">
        <f>INDEX(Products!D:D,MATCH(C249,Products!A:A,0))</f>
        <v>38</v>
      </c>
      <c r="N249" s="1" t="str">
        <f t="shared" si="12"/>
        <v>Fall</v>
      </c>
      <c r="O249" s="1" t="str">
        <f t="shared" si="13"/>
        <v>20-40</v>
      </c>
      <c r="P249" s="1" t="str">
        <f t="shared" si="14"/>
        <v>Yes</v>
      </c>
      <c r="Q249" s="17" t="str">
        <f t="shared" si="15"/>
        <v>No Code</v>
      </c>
    </row>
    <row r="250" spans="1:17" x14ac:dyDescent="0.25">
      <c r="A250" s="8">
        <v>5091</v>
      </c>
      <c r="B250" s="8" t="s">
        <v>86</v>
      </c>
      <c r="C250" s="8" t="s">
        <v>179</v>
      </c>
      <c r="D250" s="10">
        <v>46159</v>
      </c>
      <c r="E250" s="8" t="s">
        <v>352</v>
      </c>
      <c r="F250" s="8"/>
      <c r="G250" s="1" t="str">
        <f>INDEX(Customers!B:B,MATCH(B250,Customers!A:A,0))</f>
        <v>Grace Aliyu</v>
      </c>
      <c r="H250" s="1" t="str">
        <f>INDEX(Customers!E:E,MATCH(B250,Customers!A:A,0))</f>
        <v>Female</v>
      </c>
      <c r="I250" s="1">
        <f>INDEX(Customers!C:C,MATCH(B250,Customers!A:A,0))</f>
        <v>49</v>
      </c>
      <c r="J250" s="1" t="str">
        <f>INDEX(Customers!D:D,MATCH(B250,Customers!A:A,0))</f>
        <v>Kaduna</v>
      </c>
      <c r="K250" s="1" t="str">
        <f>INDEX(Products!B:B,MATCH(C250,Products!A:A,0))</f>
        <v>Clothing</v>
      </c>
      <c r="L250" s="1" t="str">
        <f>INDEX(Products!C:C,MATCH(C250,Products!A:A,0))</f>
        <v>Ankara Dress</v>
      </c>
      <c r="M250" s="1">
        <f>INDEX(Products!D:D,MATCH(C250,Products!A:A,0))</f>
        <v>68</v>
      </c>
      <c r="N250" s="1" t="str">
        <f t="shared" si="12"/>
        <v>Spring</v>
      </c>
      <c r="O250" s="1" t="str">
        <f t="shared" si="13"/>
        <v>40-60</v>
      </c>
      <c r="P250" s="1" t="str">
        <f t="shared" si="14"/>
        <v>Yes</v>
      </c>
      <c r="Q250" s="17" t="str">
        <f t="shared" si="15"/>
        <v>No Code</v>
      </c>
    </row>
    <row r="251" spans="1:17" x14ac:dyDescent="0.25">
      <c r="A251" s="8">
        <v>5187</v>
      </c>
      <c r="B251" s="8" t="s">
        <v>106</v>
      </c>
      <c r="C251" s="8" t="s">
        <v>184</v>
      </c>
      <c r="D251" s="10">
        <v>46079</v>
      </c>
      <c r="E251" s="8" t="s">
        <v>352</v>
      </c>
      <c r="F251" s="8"/>
      <c r="G251" s="1" t="str">
        <f>INDEX(Customers!B:B,MATCH(B251,Customers!A:A,0))</f>
        <v>Grace Johnson</v>
      </c>
      <c r="H251" s="1" t="str">
        <f>INDEX(Customers!E:E,MATCH(B251,Customers!A:A,0))</f>
        <v>Female</v>
      </c>
      <c r="I251" s="1">
        <f>INDEX(Customers!C:C,MATCH(B251,Customers!A:A,0))</f>
        <v>34</v>
      </c>
      <c r="J251" s="1" t="str">
        <f>INDEX(Customers!D:D,MATCH(B251,Customers!A:A,0))</f>
        <v>Kano</v>
      </c>
      <c r="K251" s="1" t="str">
        <f>INDEX(Products!B:B,MATCH(C251,Products!A:A,0))</f>
        <v>Clothing</v>
      </c>
      <c r="L251" s="1" t="str">
        <f>INDEX(Products!C:C,MATCH(C251,Products!A:A,0))</f>
        <v>Silk Blouse</v>
      </c>
      <c r="M251" s="1">
        <f>INDEX(Products!D:D,MATCH(C251,Products!A:A,0))</f>
        <v>54</v>
      </c>
      <c r="N251" s="1" t="str">
        <f t="shared" si="12"/>
        <v>Winter</v>
      </c>
      <c r="O251" s="1" t="str">
        <f t="shared" si="13"/>
        <v>20-40</v>
      </c>
      <c r="P251" s="1" t="str">
        <f t="shared" si="14"/>
        <v>Yes</v>
      </c>
      <c r="Q251" s="17" t="str">
        <f t="shared" si="15"/>
        <v>No Code</v>
      </c>
    </row>
    <row r="252" spans="1:17" x14ac:dyDescent="0.25">
      <c r="A252" s="8">
        <v>5182</v>
      </c>
      <c r="B252" s="8" t="s">
        <v>74</v>
      </c>
      <c r="C252" s="8" t="s">
        <v>179</v>
      </c>
      <c r="D252" s="10">
        <v>45931</v>
      </c>
      <c r="E252" s="8" t="s">
        <v>352</v>
      </c>
      <c r="F252" s="8"/>
      <c r="G252" s="1" t="str">
        <f>INDEX(Customers!B:B,MATCH(B252,Customers!A:A,0))</f>
        <v>Emeka Moore</v>
      </c>
      <c r="H252" s="1" t="str">
        <f>INDEX(Customers!E:E,MATCH(B252,Customers!A:A,0))</f>
        <v>Male</v>
      </c>
      <c r="I252" s="1">
        <f>INDEX(Customers!C:C,MATCH(B252,Customers!A:A,0))</f>
        <v>46</v>
      </c>
      <c r="J252" s="1" t="str">
        <f>INDEX(Customers!D:D,MATCH(B252,Customers!A:A,0))</f>
        <v>Warri</v>
      </c>
      <c r="K252" s="1" t="str">
        <f>INDEX(Products!B:B,MATCH(C252,Products!A:A,0))</f>
        <v>Clothing</v>
      </c>
      <c r="L252" s="1" t="str">
        <f>INDEX(Products!C:C,MATCH(C252,Products!A:A,0))</f>
        <v>Ankara Dress</v>
      </c>
      <c r="M252" s="1">
        <f>INDEX(Products!D:D,MATCH(C252,Products!A:A,0))</f>
        <v>68</v>
      </c>
      <c r="N252" s="1" t="str">
        <f t="shared" si="12"/>
        <v>Fall</v>
      </c>
      <c r="O252" s="1" t="str">
        <f t="shared" si="13"/>
        <v>40-60</v>
      </c>
      <c r="P252" s="1" t="str">
        <f t="shared" si="14"/>
        <v>Yes</v>
      </c>
      <c r="Q252" s="17" t="str">
        <f t="shared" si="15"/>
        <v>No Code</v>
      </c>
    </row>
    <row r="253" spans="1:17" x14ac:dyDescent="0.25">
      <c r="A253" s="8">
        <v>5067</v>
      </c>
      <c r="B253" s="8" t="s">
        <v>54</v>
      </c>
      <c r="C253" s="8" t="s">
        <v>182</v>
      </c>
      <c r="D253" s="10">
        <v>46137</v>
      </c>
      <c r="E253" s="8" t="s">
        <v>352</v>
      </c>
      <c r="F253" s="8"/>
      <c r="G253" s="1" t="str">
        <f>INDEX(Customers!B:B,MATCH(B253,Customers!A:A,0))</f>
        <v>Aisha Garba</v>
      </c>
      <c r="H253" s="1" t="str">
        <f>INDEX(Customers!E:E,MATCH(B253,Customers!A:A,0))</f>
        <v>Female</v>
      </c>
      <c r="I253" s="1">
        <f>INDEX(Customers!C:C,MATCH(B253,Customers!A:A,0))</f>
        <v>32</v>
      </c>
      <c r="J253" s="1" t="str">
        <f>INDEX(Customers!D:D,MATCH(B253,Customers!A:A,0))</f>
        <v>Lagos</v>
      </c>
      <c r="K253" s="1" t="str">
        <f>INDEX(Products!B:B,MATCH(C253,Products!A:A,0))</f>
        <v>Clothing</v>
      </c>
      <c r="L253" s="1" t="str">
        <f>INDEX(Products!C:C,MATCH(C253,Products!A:A,0))</f>
        <v>Denim Jacket</v>
      </c>
      <c r="M253" s="1">
        <f>INDEX(Products!D:D,MATCH(C253,Products!A:A,0))</f>
        <v>95</v>
      </c>
      <c r="N253" s="1" t="str">
        <f t="shared" si="12"/>
        <v>Spring</v>
      </c>
      <c r="O253" s="1" t="str">
        <f t="shared" si="13"/>
        <v>20-40</v>
      </c>
      <c r="P253" s="1" t="str">
        <f t="shared" si="14"/>
        <v>Yes</v>
      </c>
      <c r="Q253" s="17" t="str">
        <f t="shared" si="15"/>
        <v>No Code</v>
      </c>
    </row>
    <row r="254" spans="1:17" x14ac:dyDescent="0.25">
      <c r="A254" s="8">
        <v>5138</v>
      </c>
      <c r="B254" s="8" t="s">
        <v>123</v>
      </c>
      <c r="C254" s="8" t="s">
        <v>209</v>
      </c>
      <c r="D254" s="10">
        <v>45962</v>
      </c>
      <c r="E254" s="8" t="s">
        <v>233</v>
      </c>
      <c r="F254" s="8" t="s">
        <v>223</v>
      </c>
      <c r="G254" s="1" t="str">
        <f>INDEX(Customers!B:B,MATCH(B254,Customers!A:A,0))</f>
        <v>Tunde Suleiman</v>
      </c>
      <c r="H254" s="1" t="str">
        <f>INDEX(Customers!E:E,MATCH(B254,Customers!A:A,0))</f>
        <v>Male</v>
      </c>
      <c r="I254" s="1">
        <f>INDEX(Customers!C:C,MATCH(B254,Customers!A:A,0))</f>
        <v>53</v>
      </c>
      <c r="J254" s="1" t="str">
        <f>INDEX(Customers!D:D,MATCH(B254,Customers!A:A,0))</f>
        <v>Port Harcourt</v>
      </c>
      <c r="K254" s="1" t="str">
        <f>INDEX(Products!B:B,MATCH(C254,Products!A:A,0))</f>
        <v>Accessories</v>
      </c>
      <c r="L254" s="1" t="str">
        <f>INDEX(Products!C:C,MATCH(C254,Products!A:A,0))</f>
        <v>Tote Bag</v>
      </c>
      <c r="M254" s="1">
        <f>INDEX(Products!D:D,MATCH(C254,Products!A:A,0))</f>
        <v>62</v>
      </c>
      <c r="N254" s="1" t="str">
        <f t="shared" si="12"/>
        <v>Fall</v>
      </c>
      <c r="O254" s="1" t="str">
        <f t="shared" si="13"/>
        <v>40-60</v>
      </c>
      <c r="P254" s="1" t="str">
        <f t="shared" si="14"/>
        <v>Yes</v>
      </c>
      <c r="Q254" s="17" t="str">
        <f t="shared" si="15"/>
        <v>Used Code</v>
      </c>
    </row>
    <row r="255" spans="1:17" x14ac:dyDescent="0.25">
      <c r="A255" s="8">
        <v>5152</v>
      </c>
      <c r="B255" s="8" t="s">
        <v>107</v>
      </c>
      <c r="C255" s="8" t="s">
        <v>205</v>
      </c>
      <c r="D255" s="10">
        <v>46100</v>
      </c>
      <c r="E255" s="8" t="s">
        <v>352</v>
      </c>
      <c r="F255" s="8"/>
      <c r="G255" s="1" t="str">
        <f>INDEX(Customers!B:B,MATCH(B255,Customers!A:A,0))</f>
        <v>Karen Smith</v>
      </c>
      <c r="H255" s="1" t="str">
        <f>INDEX(Customers!E:E,MATCH(B255,Customers!A:A,0))</f>
        <v>Female</v>
      </c>
      <c r="I255" s="1">
        <f>INDEX(Customers!C:C,MATCH(B255,Customers!A:A,0))</f>
        <v>38</v>
      </c>
      <c r="J255" s="1" t="str">
        <f>INDEX(Customers!D:D,MATCH(B255,Customers!A:A,0))</f>
        <v>Abeokuta</v>
      </c>
      <c r="K255" s="1" t="str">
        <f>INDEX(Products!B:B,MATCH(C255,Products!A:A,0))</f>
        <v>Accessories</v>
      </c>
      <c r="L255" s="1" t="str">
        <f>INDEX(Products!C:C,MATCH(C255,Products!A:A,0))</f>
        <v>Sunglasses</v>
      </c>
      <c r="M255" s="1">
        <f>INDEX(Products!D:D,MATCH(C255,Products!A:A,0))</f>
        <v>38</v>
      </c>
      <c r="N255" s="1" t="str">
        <f t="shared" si="12"/>
        <v>Spring</v>
      </c>
      <c r="O255" s="1" t="str">
        <f t="shared" si="13"/>
        <v>20-40</v>
      </c>
      <c r="P255" s="1" t="str">
        <f t="shared" si="14"/>
        <v>No</v>
      </c>
      <c r="Q255" s="17" t="str">
        <f t="shared" si="15"/>
        <v>No Code</v>
      </c>
    </row>
    <row r="256" spans="1:17" x14ac:dyDescent="0.25">
      <c r="A256" s="8">
        <v>5034</v>
      </c>
      <c r="B256" s="8" t="s">
        <v>153</v>
      </c>
      <c r="C256" s="8" t="s">
        <v>213</v>
      </c>
      <c r="D256" s="10">
        <v>45973</v>
      </c>
      <c r="E256" s="8" t="s">
        <v>353</v>
      </c>
      <c r="F256" s="8" t="s">
        <v>224</v>
      </c>
      <c r="G256" s="1" t="str">
        <f>INDEX(Customers!B:B,MATCH(B256,Customers!A:A,0))</f>
        <v>Mark Davis</v>
      </c>
      <c r="H256" s="1" t="str">
        <f>INDEX(Customers!E:E,MATCH(B256,Customers!A:A,0))</f>
        <v>Male</v>
      </c>
      <c r="I256" s="1">
        <f>INDEX(Customers!C:C,MATCH(B256,Customers!A:A,0))</f>
        <v>33</v>
      </c>
      <c r="J256" s="1" t="str">
        <f>INDEX(Customers!D:D,MATCH(B256,Customers!A:A,0))</f>
        <v>Jos</v>
      </c>
      <c r="K256" s="1" t="str">
        <f>INDEX(Products!B:B,MATCH(C256,Products!A:A,0))</f>
        <v>Accessories</v>
      </c>
      <c r="L256" s="1" t="str">
        <f>INDEX(Products!C:C,MATCH(C256,Products!A:A,0))</f>
        <v>Ankle Boots</v>
      </c>
      <c r="M256" s="1">
        <f>INDEX(Products!D:D,MATCH(C256,Products!A:A,0))</f>
        <v>110</v>
      </c>
      <c r="N256" s="1" t="str">
        <f t="shared" si="12"/>
        <v>Fall</v>
      </c>
      <c r="O256" s="1" t="str">
        <f t="shared" si="13"/>
        <v>20-40</v>
      </c>
      <c r="P256" s="1" t="str">
        <f t="shared" si="14"/>
        <v>Yes</v>
      </c>
      <c r="Q256" s="17" t="str">
        <f t="shared" si="15"/>
        <v>Used Code</v>
      </c>
    </row>
    <row r="257" spans="1:17" x14ac:dyDescent="0.25">
      <c r="A257" s="8">
        <v>5032</v>
      </c>
      <c r="B257" s="8" t="s">
        <v>99</v>
      </c>
      <c r="C257" s="8" t="s">
        <v>194</v>
      </c>
      <c r="D257" s="10">
        <v>45967</v>
      </c>
      <c r="E257" s="8" t="s">
        <v>234</v>
      </c>
      <c r="F257" s="8"/>
      <c r="G257" s="1" t="str">
        <f>INDEX(Customers!B:B,MATCH(B257,Customers!A:A,0))</f>
        <v>Emeka Abubakar</v>
      </c>
      <c r="H257" s="1" t="str">
        <f>INDEX(Customers!E:E,MATCH(B257,Customers!A:A,0))</f>
        <v>Male</v>
      </c>
      <c r="I257" s="1">
        <f>INDEX(Customers!C:C,MATCH(B257,Customers!A:A,0))</f>
        <v>38</v>
      </c>
      <c r="J257" s="1" t="str">
        <f>INDEX(Customers!D:D,MATCH(B257,Customers!A:A,0))</f>
        <v>Kaduna</v>
      </c>
      <c r="K257" s="1" t="str">
        <f>INDEX(Products!B:B,MATCH(C257,Products!A:A,0))</f>
        <v>Clothing</v>
      </c>
      <c r="L257" s="1" t="str">
        <f>INDEX(Products!C:C,MATCH(C257,Products!A:A,0))</f>
        <v>Jumpsuit</v>
      </c>
      <c r="M257" s="1">
        <f>INDEX(Products!D:D,MATCH(C257,Products!A:A,0))</f>
        <v>76</v>
      </c>
      <c r="N257" s="1" t="str">
        <f t="shared" si="12"/>
        <v>Fall</v>
      </c>
      <c r="O257" s="1" t="str">
        <f t="shared" si="13"/>
        <v>20-40</v>
      </c>
      <c r="P257" s="1" t="str">
        <f t="shared" si="14"/>
        <v>No</v>
      </c>
      <c r="Q257" s="17" t="str">
        <f t="shared" si="15"/>
        <v>No Code</v>
      </c>
    </row>
    <row r="258" spans="1:17" x14ac:dyDescent="0.25">
      <c r="A258" s="8">
        <v>5115</v>
      </c>
      <c r="B258" s="8" t="s">
        <v>139</v>
      </c>
      <c r="C258" s="8" t="s">
        <v>194</v>
      </c>
      <c r="D258" s="10">
        <v>46170</v>
      </c>
      <c r="E258" s="8" t="s">
        <v>231</v>
      </c>
      <c r="F258" s="8"/>
      <c r="G258" s="1" t="str">
        <f>INDEX(Customers!B:B,MATCH(B258,Customers!A:A,0))</f>
        <v>Aisha Bello</v>
      </c>
      <c r="H258" s="1" t="str">
        <f>INDEX(Customers!E:E,MATCH(B258,Customers!A:A,0))</f>
        <v>Female</v>
      </c>
      <c r="I258" s="1">
        <f>INDEX(Customers!C:C,MATCH(B258,Customers!A:A,0))</f>
        <v>32</v>
      </c>
      <c r="J258" s="1" t="str">
        <f>INDEX(Customers!D:D,MATCH(B258,Customers!A:A,0))</f>
        <v>Kaduna</v>
      </c>
      <c r="K258" s="1" t="str">
        <f>INDEX(Products!B:B,MATCH(C258,Products!A:A,0))</f>
        <v>Clothing</v>
      </c>
      <c r="L258" s="1" t="str">
        <f>INDEX(Products!C:C,MATCH(C258,Products!A:A,0))</f>
        <v>Jumpsuit</v>
      </c>
      <c r="M258" s="1">
        <f>INDEX(Products!D:D,MATCH(C258,Products!A:A,0))</f>
        <v>76</v>
      </c>
      <c r="N258" s="1" t="str">
        <f t="shared" ref="N258:N299" si="16">CHOOSE(MONTH(D258),"Winter","Winter","Spring","Spring","Spring","Summer","Summer","Summer","Fall","Fall","Fall","Winter")</f>
        <v>Spring</v>
      </c>
      <c r="O258" s="1" t="str">
        <f t="shared" ref="O258:O299" si="17">IF(I258&lt;20,"&lt;20",IF(I258&lt;40,"20-40",IF(I258&lt;60,"40-60","60+")))</f>
        <v>20-40</v>
      </c>
      <c r="P258" s="1" t="str">
        <f t="shared" ref="P258:P299" si="18">IF(COUNTIF(B:B,B258)&gt;1,"Yes","No")</f>
        <v>Yes</v>
      </c>
      <c r="Q258" s="17" t="str">
        <f t="shared" ref="Q258:Q299" si="19">IF(F258="","No Code","Used Code")</f>
        <v>No Code</v>
      </c>
    </row>
    <row r="259" spans="1:17" x14ac:dyDescent="0.25">
      <c r="A259" s="8">
        <v>5282</v>
      </c>
      <c r="B259" s="8" t="s">
        <v>160</v>
      </c>
      <c r="C259" s="8" t="s">
        <v>194</v>
      </c>
      <c r="D259" s="10">
        <v>46153</v>
      </c>
      <c r="E259" s="8" t="s">
        <v>234</v>
      </c>
      <c r="F259" s="8"/>
      <c r="G259" s="1" t="str">
        <f>INDEX(Customers!B:B,MATCH(B259,Customers!A:A,0))</f>
        <v>Adaeze Eze</v>
      </c>
      <c r="H259" s="1" t="str">
        <f>INDEX(Customers!E:E,MATCH(B259,Customers!A:A,0))</f>
        <v>Female</v>
      </c>
      <c r="I259" s="1">
        <f>INDEX(Customers!C:C,MATCH(B259,Customers!A:A,0))</f>
        <v>18</v>
      </c>
      <c r="J259" s="1" t="str">
        <f>INDEX(Customers!D:D,MATCH(B259,Customers!A:A,0))</f>
        <v>Kaduna</v>
      </c>
      <c r="K259" s="1" t="str">
        <f>INDEX(Products!B:B,MATCH(C259,Products!A:A,0))</f>
        <v>Clothing</v>
      </c>
      <c r="L259" s="1" t="str">
        <f>INDEX(Products!C:C,MATCH(C259,Products!A:A,0))</f>
        <v>Jumpsuit</v>
      </c>
      <c r="M259" s="1">
        <f>INDEX(Products!D:D,MATCH(C259,Products!A:A,0))</f>
        <v>76</v>
      </c>
      <c r="N259" s="1" t="str">
        <f t="shared" si="16"/>
        <v>Spring</v>
      </c>
      <c r="O259" s="1" t="str">
        <f t="shared" si="17"/>
        <v>&lt;20</v>
      </c>
      <c r="P259" s="1" t="str">
        <f t="shared" si="18"/>
        <v>Yes</v>
      </c>
      <c r="Q259" s="17" t="str">
        <f t="shared" si="19"/>
        <v>No Code</v>
      </c>
    </row>
    <row r="260" spans="1:17" x14ac:dyDescent="0.25">
      <c r="A260" s="8">
        <v>5038</v>
      </c>
      <c r="B260" s="8" t="s">
        <v>103</v>
      </c>
      <c r="C260" s="8" t="s">
        <v>182</v>
      </c>
      <c r="D260" s="10">
        <v>45982</v>
      </c>
      <c r="E260" s="8" t="s">
        <v>231</v>
      </c>
      <c r="F260" s="8" t="s">
        <v>223</v>
      </c>
      <c r="G260" s="1" t="str">
        <f>INDEX(Customers!B:B,MATCH(B260,Customers!A:A,0))</f>
        <v>Peter Balogun</v>
      </c>
      <c r="H260" s="1" t="str">
        <f>INDEX(Customers!E:E,MATCH(B260,Customers!A:A,0))</f>
        <v>Male</v>
      </c>
      <c r="I260" s="1">
        <f>INDEX(Customers!C:C,MATCH(B260,Customers!A:A,0))</f>
        <v>46</v>
      </c>
      <c r="J260" s="1" t="str">
        <f>INDEX(Customers!D:D,MATCH(B260,Customers!A:A,0))</f>
        <v>Kano</v>
      </c>
      <c r="K260" s="1" t="str">
        <f>INDEX(Products!B:B,MATCH(C260,Products!A:A,0))</f>
        <v>Clothing</v>
      </c>
      <c r="L260" s="1" t="str">
        <f>INDEX(Products!C:C,MATCH(C260,Products!A:A,0))</f>
        <v>Denim Jacket</v>
      </c>
      <c r="M260" s="1">
        <f>INDEX(Products!D:D,MATCH(C260,Products!A:A,0))</f>
        <v>95</v>
      </c>
      <c r="N260" s="1" t="str">
        <f t="shared" si="16"/>
        <v>Fall</v>
      </c>
      <c r="O260" s="1" t="str">
        <f t="shared" si="17"/>
        <v>40-60</v>
      </c>
      <c r="P260" s="1" t="str">
        <f t="shared" si="18"/>
        <v>Yes</v>
      </c>
      <c r="Q260" s="17" t="str">
        <f t="shared" si="19"/>
        <v>Used Code</v>
      </c>
    </row>
    <row r="261" spans="1:17" x14ac:dyDescent="0.25">
      <c r="A261" s="8">
        <v>5197</v>
      </c>
      <c r="B261" s="8" t="s">
        <v>40</v>
      </c>
      <c r="C261" s="8" t="s">
        <v>213</v>
      </c>
      <c r="D261" s="10">
        <v>46021</v>
      </c>
      <c r="E261" s="8" t="s">
        <v>353</v>
      </c>
      <c r="F261" s="8" t="s">
        <v>226</v>
      </c>
      <c r="G261" s="1" t="str">
        <f>INDEX(Customers!B:B,MATCH(B261,Customers!A:A,0))</f>
        <v>Peter Johnson</v>
      </c>
      <c r="H261" s="1" t="str">
        <f>INDEX(Customers!E:E,MATCH(B261,Customers!A:A,0))</f>
        <v>Male</v>
      </c>
      <c r="I261" s="1">
        <f>INDEX(Customers!C:C,MATCH(B261,Customers!A:A,0))</f>
        <v>35</v>
      </c>
      <c r="J261" s="1" t="str">
        <f>INDEX(Customers!D:D,MATCH(B261,Customers!A:A,0))</f>
        <v>Lagos</v>
      </c>
      <c r="K261" s="1" t="str">
        <f>INDEX(Products!B:B,MATCH(C261,Products!A:A,0))</f>
        <v>Accessories</v>
      </c>
      <c r="L261" s="1" t="str">
        <f>INDEX(Products!C:C,MATCH(C261,Products!A:A,0))</f>
        <v>Ankle Boots</v>
      </c>
      <c r="M261" s="1">
        <f>INDEX(Products!D:D,MATCH(C261,Products!A:A,0))</f>
        <v>110</v>
      </c>
      <c r="N261" s="1" t="str">
        <f t="shared" si="16"/>
        <v>Winter</v>
      </c>
      <c r="O261" s="1" t="str">
        <f t="shared" si="17"/>
        <v>20-40</v>
      </c>
      <c r="P261" s="1" t="str">
        <f t="shared" si="18"/>
        <v>Yes</v>
      </c>
      <c r="Q261" s="17" t="str">
        <f t="shared" si="19"/>
        <v>Used Code</v>
      </c>
    </row>
    <row r="262" spans="1:17" x14ac:dyDescent="0.25">
      <c r="A262" s="8">
        <v>5030</v>
      </c>
      <c r="B262" s="8" t="s">
        <v>83</v>
      </c>
      <c r="C262" s="8" t="s">
        <v>217</v>
      </c>
      <c r="D262" s="10">
        <v>45830</v>
      </c>
      <c r="E262" s="8" t="s">
        <v>352</v>
      </c>
      <c r="F262" s="8"/>
      <c r="G262" s="1" t="str">
        <f>INDEX(Customers!B:B,MATCH(B262,Customers!A:A,0))</f>
        <v>Linda Smith</v>
      </c>
      <c r="H262" s="1" t="str">
        <f>INDEX(Customers!E:E,MATCH(B262,Customers!A:A,0))</f>
        <v>Female</v>
      </c>
      <c r="I262" s="1">
        <f>INDEX(Customers!C:C,MATCH(B262,Customers!A:A,0))</f>
        <v>57</v>
      </c>
      <c r="J262" s="1" t="str">
        <f>INDEX(Customers!D:D,MATCH(B262,Customers!A:A,0))</f>
        <v>Ibadan</v>
      </c>
      <c r="K262" s="1" t="str">
        <f>INDEX(Products!B:B,MATCH(C262,Products!A:A,0))</f>
        <v>Accessories</v>
      </c>
      <c r="L262" s="1" t="str">
        <f>INDEX(Products!C:C,MATCH(C262,Products!A:A,0))</f>
        <v>Earrings</v>
      </c>
      <c r="M262" s="1">
        <f>INDEX(Products!D:D,MATCH(C262,Products!A:A,0))</f>
        <v>19</v>
      </c>
      <c r="N262" s="1" t="str">
        <f t="shared" si="16"/>
        <v>Summer</v>
      </c>
      <c r="O262" s="1" t="str">
        <f t="shared" si="17"/>
        <v>40-60</v>
      </c>
      <c r="P262" s="1" t="str">
        <f t="shared" si="18"/>
        <v>Yes</v>
      </c>
      <c r="Q262" s="17" t="str">
        <f t="shared" si="19"/>
        <v>No Code</v>
      </c>
    </row>
    <row r="263" spans="1:17" x14ac:dyDescent="0.25">
      <c r="A263" s="8">
        <v>5050</v>
      </c>
      <c r="B263" s="8" t="s">
        <v>152</v>
      </c>
      <c r="C263" s="8" t="s">
        <v>203</v>
      </c>
      <c r="D263" s="10">
        <v>46030</v>
      </c>
      <c r="E263" s="8" t="s">
        <v>352</v>
      </c>
      <c r="F263" s="8"/>
      <c r="G263" s="1" t="str">
        <f>INDEX(Customers!B:B,MATCH(B263,Customers!A:A,0))</f>
        <v>James Smith</v>
      </c>
      <c r="H263" s="1" t="str">
        <f>INDEX(Customers!E:E,MATCH(B263,Customers!A:A,0))</f>
        <v>Male</v>
      </c>
      <c r="I263" s="1">
        <f>INDEX(Customers!C:C,MATCH(B263,Customers!A:A,0))</f>
        <v>37</v>
      </c>
      <c r="J263" s="1" t="str">
        <f>INDEX(Customers!D:D,MATCH(B263,Customers!A:A,0))</f>
        <v>Abeokuta</v>
      </c>
      <c r="K263" s="1" t="str">
        <f>INDEX(Products!B:B,MATCH(C263,Products!A:A,0))</f>
        <v>Accessories</v>
      </c>
      <c r="L263" s="1" t="str">
        <f>INDEX(Products!C:C,MATCH(C263,Products!A:A,0))</f>
        <v>Leather Handbag</v>
      </c>
      <c r="M263" s="1">
        <f>INDEX(Products!D:D,MATCH(C263,Products!A:A,0))</f>
        <v>145</v>
      </c>
      <c r="N263" s="1" t="str">
        <f t="shared" si="16"/>
        <v>Winter</v>
      </c>
      <c r="O263" s="1" t="str">
        <f t="shared" si="17"/>
        <v>20-40</v>
      </c>
      <c r="P263" s="1" t="str">
        <f t="shared" si="18"/>
        <v>Yes</v>
      </c>
      <c r="Q263" s="17" t="str">
        <f t="shared" si="19"/>
        <v>No Code</v>
      </c>
    </row>
    <row r="264" spans="1:17" x14ac:dyDescent="0.25">
      <c r="A264" s="8">
        <v>5247</v>
      </c>
      <c r="B264" s="8" t="s">
        <v>232</v>
      </c>
      <c r="C264" s="8" t="s">
        <v>190</v>
      </c>
      <c r="D264" s="10">
        <v>46110</v>
      </c>
      <c r="E264" s="8" t="s">
        <v>352</v>
      </c>
      <c r="F264" s="8" t="s">
        <v>223</v>
      </c>
      <c r="G264" s="1" t="str">
        <f>INDEX(Customers!B:B,MATCH(B264,Customers!A:A,0))</f>
        <v>Yusuf Thomas</v>
      </c>
      <c r="H264" s="1" t="str">
        <f>INDEX(Customers!E:E,MATCH(B264,Customers!A:A,0))</f>
        <v>Male</v>
      </c>
      <c r="I264" s="1">
        <f>INDEX(Customers!C:C,MATCH(B264,Customers!A:A,0))</f>
        <v>30</v>
      </c>
      <c r="J264" s="1" t="str">
        <f>INDEX(Customers!D:D,MATCH(B264,Customers!A:A,0))</f>
        <v>Ibadan</v>
      </c>
      <c r="K264" s="1" t="str">
        <f>INDEX(Products!B:B,MATCH(C264,Products!A:A,0))</f>
        <v>Clothing</v>
      </c>
      <c r="L264" s="1" t="str">
        <f>INDEX(Products!C:C,MATCH(C264,Products!A:A,0))</f>
        <v>Kaftan</v>
      </c>
      <c r="M264" s="1">
        <f>INDEX(Products!D:D,MATCH(C264,Products!A:A,0))</f>
        <v>89</v>
      </c>
      <c r="N264" s="1" t="str">
        <f t="shared" si="16"/>
        <v>Spring</v>
      </c>
      <c r="O264" s="1" t="str">
        <f t="shared" si="17"/>
        <v>20-40</v>
      </c>
      <c r="P264" s="1" t="str">
        <f t="shared" si="18"/>
        <v>Yes</v>
      </c>
      <c r="Q264" s="17" t="str">
        <f t="shared" si="19"/>
        <v>Used Code</v>
      </c>
    </row>
    <row r="265" spans="1:17" x14ac:dyDescent="0.25">
      <c r="A265" s="8">
        <v>5074</v>
      </c>
      <c r="B265" s="8" t="s">
        <v>100</v>
      </c>
      <c r="C265" s="8" t="s">
        <v>219</v>
      </c>
      <c r="D265" s="10">
        <v>45987</v>
      </c>
      <c r="E265" s="8" t="s">
        <v>353</v>
      </c>
      <c r="F265" s="8"/>
      <c r="G265" s="1" t="str">
        <f>INDEX(Customers!B:B,MATCH(B265,Customers!A:A,0))</f>
        <v>Tunde Jackson</v>
      </c>
      <c r="H265" s="1" t="str">
        <f>INDEX(Customers!E:E,MATCH(B265,Customers!A:A,0))</f>
        <v>Male</v>
      </c>
      <c r="I265" s="1">
        <f>INDEX(Customers!C:C,MATCH(B265,Customers!A:A,0))</f>
        <v>50</v>
      </c>
      <c r="J265" s="1" t="str">
        <f>INDEX(Customers!D:D,MATCH(B265,Customers!A:A,0))</f>
        <v>Uyo</v>
      </c>
      <c r="K265" s="1" t="str">
        <f>INDEX(Products!B:B,MATCH(C265,Products!A:A,0))</f>
        <v>Accessories</v>
      </c>
      <c r="L265" s="1" t="str">
        <f>INDEX(Products!C:C,MATCH(C265,Products!A:A,0))</f>
        <v>Waist Belt</v>
      </c>
      <c r="M265" s="1">
        <f>INDEX(Products!D:D,MATCH(C265,Products!A:A,0))</f>
        <v>33</v>
      </c>
      <c r="N265" s="1" t="str">
        <f t="shared" si="16"/>
        <v>Fall</v>
      </c>
      <c r="O265" s="1" t="str">
        <f t="shared" si="17"/>
        <v>40-60</v>
      </c>
      <c r="P265" s="1" t="str">
        <f t="shared" si="18"/>
        <v>Yes</v>
      </c>
      <c r="Q265" s="17" t="str">
        <f t="shared" si="19"/>
        <v>No Code</v>
      </c>
    </row>
    <row r="266" spans="1:17" x14ac:dyDescent="0.25">
      <c r="A266" s="8">
        <v>5024</v>
      </c>
      <c r="B266" s="8" t="s">
        <v>7</v>
      </c>
      <c r="C266" s="8" t="s">
        <v>182</v>
      </c>
      <c r="D266" s="10">
        <v>45814</v>
      </c>
      <c r="E266" s="8" t="s">
        <v>233</v>
      </c>
      <c r="F266" s="8"/>
      <c r="G266" s="1" t="str">
        <f>INDEX(Customers!B:B,MATCH(B266,Customers!A:A,0))</f>
        <v>Grace Anderson</v>
      </c>
      <c r="H266" s="1" t="str">
        <f>INDEX(Customers!E:E,MATCH(B266,Customers!A:A,0))</f>
        <v>Female</v>
      </c>
      <c r="I266" s="1">
        <f>INDEX(Customers!C:C,MATCH(B266,Customers!A:A,0))</f>
        <v>54</v>
      </c>
      <c r="J266" s="1" t="str">
        <f>INDEX(Customers!D:D,MATCH(B266,Customers!A:A,0))</f>
        <v>Abeokuta</v>
      </c>
      <c r="K266" s="1" t="str">
        <f>INDEX(Products!B:B,MATCH(C266,Products!A:A,0))</f>
        <v>Clothing</v>
      </c>
      <c r="L266" s="1" t="str">
        <f>INDEX(Products!C:C,MATCH(C266,Products!A:A,0))</f>
        <v>Denim Jacket</v>
      </c>
      <c r="M266" s="1">
        <f>INDEX(Products!D:D,MATCH(C266,Products!A:A,0))</f>
        <v>95</v>
      </c>
      <c r="N266" s="1" t="str">
        <f t="shared" si="16"/>
        <v>Summer</v>
      </c>
      <c r="O266" s="1" t="str">
        <f t="shared" si="17"/>
        <v>40-60</v>
      </c>
      <c r="P266" s="1" t="str">
        <f t="shared" si="18"/>
        <v>Yes</v>
      </c>
      <c r="Q266" s="17" t="str">
        <f t="shared" si="19"/>
        <v>No Code</v>
      </c>
    </row>
    <row r="267" spans="1:17" x14ac:dyDescent="0.25">
      <c r="A267" s="8">
        <v>5093</v>
      </c>
      <c r="B267" s="8" t="s">
        <v>244</v>
      </c>
      <c r="C267" s="8" t="s">
        <v>217</v>
      </c>
      <c r="D267" s="10">
        <v>45831</v>
      </c>
      <c r="E267" s="8" t="s">
        <v>353</v>
      </c>
      <c r="F267" s="8"/>
      <c r="G267" s="1" t="str">
        <f>INDEX(Customers!B:B,MATCH(B267,Customers!A:A,0))</f>
        <v>Paul Davis</v>
      </c>
      <c r="H267" s="1" t="str">
        <f>INDEX(Customers!E:E,MATCH(B267,Customers!A:A,0))</f>
        <v>Male</v>
      </c>
      <c r="I267" s="1">
        <f>INDEX(Customers!C:C,MATCH(B267,Customers!A:A,0))</f>
        <v>23</v>
      </c>
      <c r="J267" s="1" t="str">
        <f>INDEX(Customers!D:D,MATCH(B267,Customers!A:A,0))</f>
        <v>Port Harcourt</v>
      </c>
      <c r="K267" s="1" t="str">
        <f>INDEX(Products!B:B,MATCH(C267,Products!A:A,0))</f>
        <v>Accessories</v>
      </c>
      <c r="L267" s="1" t="str">
        <f>INDEX(Products!C:C,MATCH(C267,Products!A:A,0))</f>
        <v>Earrings</v>
      </c>
      <c r="M267" s="1">
        <f>INDEX(Products!D:D,MATCH(C267,Products!A:A,0))</f>
        <v>19</v>
      </c>
      <c r="N267" s="1" t="str">
        <f t="shared" si="16"/>
        <v>Summer</v>
      </c>
      <c r="O267" s="1" t="str">
        <f t="shared" si="17"/>
        <v>20-40</v>
      </c>
      <c r="P267" s="1" t="str">
        <f t="shared" si="18"/>
        <v>Yes</v>
      </c>
      <c r="Q267" s="17" t="str">
        <f t="shared" si="19"/>
        <v>No Code</v>
      </c>
    </row>
    <row r="268" spans="1:17" x14ac:dyDescent="0.25">
      <c r="A268" s="8">
        <v>5135</v>
      </c>
      <c r="B268" s="8" t="s">
        <v>165</v>
      </c>
      <c r="C268" s="8" t="s">
        <v>217</v>
      </c>
      <c r="D268" s="10">
        <v>46165</v>
      </c>
      <c r="E268" s="8" t="s">
        <v>234</v>
      </c>
      <c r="F268" s="8"/>
      <c r="G268" s="1" t="str">
        <f>INDEX(Customers!B:B,MATCH(B268,Customers!A:A,0))</f>
        <v>Angela Harris</v>
      </c>
      <c r="H268" s="1" t="str">
        <f>INDEX(Customers!E:E,MATCH(B268,Customers!A:A,0))</f>
        <v>Female</v>
      </c>
      <c r="I268" s="1">
        <f>INDEX(Customers!C:C,MATCH(B268,Customers!A:A,0))</f>
        <v>39</v>
      </c>
      <c r="J268" s="1" t="str">
        <f>INDEX(Customers!D:D,MATCH(B268,Customers!A:A,0))</f>
        <v>Kaduna</v>
      </c>
      <c r="K268" s="1" t="str">
        <f>INDEX(Products!B:B,MATCH(C268,Products!A:A,0))</f>
        <v>Accessories</v>
      </c>
      <c r="L268" s="1" t="str">
        <f>INDEX(Products!C:C,MATCH(C268,Products!A:A,0))</f>
        <v>Earrings</v>
      </c>
      <c r="M268" s="1">
        <f>INDEX(Products!D:D,MATCH(C268,Products!A:A,0))</f>
        <v>19</v>
      </c>
      <c r="N268" s="1" t="str">
        <f t="shared" si="16"/>
        <v>Spring</v>
      </c>
      <c r="O268" s="1" t="str">
        <f t="shared" si="17"/>
        <v>20-40</v>
      </c>
      <c r="P268" s="1" t="str">
        <f t="shared" si="18"/>
        <v>No</v>
      </c>
      <c r="Q268" s="17" t="str">
        <f t="shared" si="19"/>
        <v>No Code</v>
      </c>
    </row>
    <row r="269" spans="1:17" x14ac:dyDescent="0.25">
      <c r="A269" s="8">
        <v>5160</v>
      </c>
      <c r="B269" s="8" t="s">
        <v>169</v>
      </c>
      <c r="C269" s="8" t="s">
        <v>182</v>
      </c>
      <c r="D269" s="10">
        <v>45853</v>
      </c>
      <c r="E269" s="8" t="s">
        <v>352</v>
      </c>
      <c r="F269" s="8"/>
      <c r="G269" s="1" t="str">
        <f>INDEX(Customers!B:B,MATCH(B269,Customers!A:A,0))</f>
        <v>Nancy Moore</v>
      </c>
      <c r="H269" s="1" t="str">
        <f>INDEX(Customers!E:E,MATCH(B269,Customers!A:A,0))</f>
        <v>Female</v>
      </c>
      <c r="I269" s="1">
        <f>INDEX(Customers!C:C,MATCH(B269,Customers!A:A,0))</f>
        <v>53</v>
      </c>
      <c r="J269" s="1" t="str">
        <f>INDEX(Customers!D:D,MATCH(B269,Customers!A:A,0))</f>
        <v>Lagos</v>
      </c>
      <c r="K269" s="1" t="str">
        <f>INDEX(Products!B:B,MATCH(C269,Products!A:A,0))</f>
        <v>Clothing</v>
      </c>
      <c r="L269" s="1" t="str">
        <f>INDEX(Products!C:C,MATCH(C269,Products!A:A,0))</f>
        <v>Denim Jacket</v>
      </c>
      <c r="M269" s="1">
        <f>INDEX(Products!D:D,MATCH(C269,Products!A:A,0))</f>
        <v>95</v>
      </c>
      <c r="N269" s="1" t="str">
        <f t="shared" si="16"/>
        <v>Summer</v>
      </c>
      <c r="O269" s="1" t="str">
        <f t="shared" si="17"/>
        <v>40-60</v>
      </c>
      <c r="P269" s="1" t="str">
        <f t="shared" si="18"/>
        <v>Yes</v>
      </c>
      <c r="Q269" s="17" t="str">
        <f t="shared" si="19"/>
        <v>No Code</v>
      </c>
    </row>
    <row r="270" spans="1:17" x14ac:dyDescent="0.25">
      <c r="A270" s="8">
        <v>5081</v>
      </c>
      <c r="B270" s="8" t="s">
        <v>59</v>
      </c>
      <c r="C270" s="8" t="s">
        <v>184</v>
      </c>
      <c r="D270" s="10">
        <v>45978</v>
      </c>
      <c r="E270" s="8" t="s">
        <v>352</v>
      </c>
      <c r="F270" s="8"/>
      <c r="G270" s="1" t="str">
        <f>INDEX(Customers!B:B,MATCH(B270,Customers!A:A,0))</f>
        <v>David Brown</v>
      </c>
      <c r="H270" s="1" t="str">
        <f>INDEX(Customers!E:E,MATCH(B270,Customers!A:A,0))</f>
        <v>Male</v>
      </c>
      <c r="I270" s="1">
        <f>INDEX(Customers!C:C,MATCH(B270,Customers!A:A,0))</f>
        <v>22</v>
      </c>
      <c r="J270" s="1" t="str">
        <f>INDEX(Customers!D:D,MATCH(B270,Customers!A:A,0))</f>
        <v>Ibadan</v>
      </c>
      <c r="K270" s="1" t="str">
        <f>INDEX(Products!B:B,MATCH(C270,Products!A:A,0))</f>
        <v>Clothing</v>
      </c>
      <c r="L270" s="1" t="str">
        <f>INDEX(Products!C:C,MATCH(C270,Products!A:A,0))</f>
        <v>Silk Blouse</v>
      </c>
      <c r="M270" s="1">
        <f>INDEX(Products!D:D,MATCH(C270,Products!A:A,0))</f>
        <v>54</v>
      </c>
      <c r="N270" s="1" t="str">
        <f t="shared" si="16"/>
        <v>Fall</v>
      </c>
      <c r="O270" s="1" t="str">
        <f t="shared" si="17"/>
        <v>20-40</v>
      </c>
      <c r="P270" s="1" t="str">
        <f t="shared" si="18"/>
        <v>Yes</v>
      </c>
      <c r="Q270" s="17" t="str">
        <f t="shared" si="19"/>
        <v>No Code</v>
      </c>
    </row>
    <row r="271" spans="1:17" x14ac:dyDescent="0.25">
      <c r="A271" s="8">
        <v>5046</v>
      </c>
      <c r="B271" s="8" t="s">
        <v>95</v>
      </c>
      <c r="C271" s="8" t="s">
        <v>200</v>
      </c>
      <c r="D271" s="10">
        <v>45928</v>
      </c>
      <c r="E271" s="8" t="s">
        <v>353</v>
      </c>
      <c r="F271" s="8"/>
      <c r="G271" s="1" t="str">
        <f>INDEX(Customers!B:B,MATCH(B271,Customers!A:A,0))</f>
        <v>James Harris</v>
      </c>
      <c r="H271" s="1" t="str">
        <f>INDEX(Customers!E:E,MATCH(B271,Customers!A:A,0))</f>
        <v>Male</v>
      </c>
      <c r="I271" s="1">
        <f>INDEX(Customers!C:C,MATCH(B271,Customers!A:A,0))</f>
        <v>23</v>
      </c>
      <c r="J271" s="1" t="str">
        <f>INDEX(Customers!D:D,MATCH(B271,Customers!A:A,0))</f>
        <v>Kano</v>
      </c>
      <c r="K271" s="1" t="str">
        <f>INDEX(Products!B:B,MATCH(C271,Products!A:A,0))</f>
        <v>Accessories</v>
      </c>
      <c r="L271" s="1" t="str">
        <f>INDEX(Products!C:C,MATCH(C271,Products!A:A,0))</f>
        <v>Beaded Necklace</v>
      </c>
      <c r="M271" s="1">
        <f>INDEX(Products!D:D,MATCH(C271,Products!A:A,0))</f>
        <v>25</v>
      </c>
      <c r="N271" s="1" t="str">
        <f t="shared" si="16"/>
        <v>Fall</v>
      </c>
      <c r="O271" s="1" t="str">
        <f t="shared" si="17"/>
        <v>20-40</v>
      </c>
      <c r="P271" s="1" t="str">
        <f t="shared" si="18"/>
        <v>Yes</v>
      </c>
      <c r="Q271" s="17" t="str">
        <f t="shared" si="19"/>
        <v>No Code</v>
      </c>
    </row>
    <row r="272" spans="1:17" x14ac:dyDescent="0.25">
      <c r="A272" s="8">
        <v>5098</v>
      </c>
      <c r="B272" s="8" t="s">
        <v>62</v>
      </c>
      <c r="C272" s="8" t="s">
        <v>209</v>
      </c>
      <c r="D272" s="10">
        <v>45954</v>
      </c>
      <c r="E272" s="8" t="s">
        <v>233</v>
      </c>
      <c r="F272" s="8"/>
      <c r="G272" s="1" t="str">
        <f>INDEX(Customers!B:B,MATCH(B272,Customers!A:A,0))</f>
        <v>Nancy Davis</v>
      </c>
      <c r="H272" s="1" t="str">
        <f>INDEX(Customers!E:E,MATCH(B272,Customers!A:A,0))</f>
        <v>Female</v>
      </c>
      <c r="I272" s="1">
        <f>INDEX(Customers!C:C,MATCH(B272,Customers!A:A,0))</f>
        <v>59</v>
      </c>
      <c r="J272" s="1" t="str">
        <f>INDEX(Customers!D:D,MATCH(B272,Customers!A:A,0))</f>
        <v>Calabar</v>
      </c>
      <c r="K272" s="1" t="str">
        <f>INDEX(Products!B:B,MATCH(C272,Products!A:A,0))</f>
        <v>Accessories</v>
      </c>
      <c r="L272" s="1" t="str">
        <f>INDEX(Products!C:C,MATCH(C272,Products!A:A,0))</f>
        <v>Tote Bag</v>
      </c>
      <c r="M272" s="1">
        <f>INDEX(Products!D:D,MATCH(C272,Products!A:A,0))</f>
        <v>62</v>
      </c>
      <c r="N272" s="1" t="str">
        <f t="shared" si="16"/>
        <v>Fall</v>
      </c>
      <c r="O272" s="1" t="str">
        <f t="shared" si="17"/>
        <v>40-60</v>
      </c>
      <c r="P272" s="1" t="str">
        <f t="shared" si="18"/>
        <v>No</v>
      </c>
      <c r="Q272" s="17" t="str">
        <f t="shared" si="19"/>
        <v>No Code</v>
      </c>
    </row>
    <row r="273" spans="1:17" x14ac:dyDescent="0.25">
      <c r="A273" s="8">
        <v>5006</v>
      </c>
      <c r="B273" s="8" t="s">
        <v>127</v>
      </c>
      <c r="C273" s="8" t="s">
        <v>215</v>
      </c>
      <c r="D273" s="10">
        <v>46134</v>
      </c>
      <c r="E273" s="8" t="s">
        <v>352</v>
      </c>
      <c r="F273" s="8"/>
      <c r="G273" s="1" t="str">
        <f>INDEX(Customers!B:B,MATCH(B273,Customers!A:A,0))</f>
        <v>Karen Bello</v>
      </c>
      <c r="H273" s="1" t="str">
        <f>INDEX(Customers!E:E,MATCH(B273,Customers!A:A,0))</f>
        <v>Female</v>
      </c>
      <c r="I273" s="1">
        <f>INDEX(Customers!C:C,MATCH(B273,Customers!A:A,0))</f>
        <v>41</v>
      </c>
      <c r="J273" s="1" t="str">
        <f>INDEX(Customers!D:D,MATCH(B273,Customers!A:A,0))</f>
        <v>Uyo</v>
      </c>
      <c r="K273" s="1" t="str">
        <f>INDEX(Products!B:B,MATCH(C273,Products!A:A,0))</f>
        <v>Accessories</v>
      </c>
      <c r="L273" s="1" t="str">
        <f>INDEX(Products!C:C,MATCH(C273,Products!A:A,0))</f>
        <v>Clutch Purse</v>
      </c>
      <c r="M273" s="1">
        <f>INDEX(Products!D:D,MATCH(C273,Products!A:A,0))</f>
        <v>48</v>
      </c>
      <c r="N273" s="1" t="str">
        <f t="shared" si="16"/>
        <v>Spring</v>
      </c>
      <c r="O273" s="1" t="str">
        <f t="shared" si="17"/>
        <v>40-60</v>
      </c>
      <c r="P273" s="1" t="str">
        <f t="shared" si="18"/>
        <v>Yes</v>
      </c>
      <c r="Q273" s="17" t="str">
        <f t="shared" si="19"/>
        <v>No Code</v>
      </c>
    </row>
    <row r="274" spans="1:17" x14ac:dyDescent="0.25">
      <c r="A274" s="8">
        <v>5143</v>
      </c>
      <c r="B274" s="8" t="s">
        <v>170</v>
      </c>
      <c r="C274" s="8" t="s">
        <v>188</v>
      </c>
      <c r="D274" s="10">
        <v>46110</v>
      </c>
      <c r="E274" s="8" t="s">
        <v>352</v>
      </c>
      <c r="F274" s="8"/>
      <c r="G274" s="1" t="str">
        <f>INDEX(Customers!B:B,MATCH(B274,Customers!A:A,0))</f>
        <v>Linda Miller</v>
      </c>
      <c r="H274" s="1" t="str">
        <f>INDEX(Customers!E:E,MATCH(B274,Customers!A:A,0))</f>
        <v>Female</v>
      </c>
      <c r="I274" s="1">
        <f>INDEX(Customers!C:C,MATCH(B274,Customers!A:A,0))</f>
        <v>34</v>
      </c>
      <c r="J274" s="1" t="str">
        <f>INDEX(Customers!D:D,MATCH(B274,Customers!A:A,0))</f>
        <v>Owerri</v>
      </c>
      <c r="K274" s="1" t="str">
        <f>INDEX(Products!B:B,MATCH(C274,Products!A:A,0))</f>
        <v>Clothing</v>
      </c>
      <c r="L274" s="1" t="str">
        <f>INDEX(Products!C:C,MATCH(C274,Products!A:A,0))</f>
        <v>Linen Trousers</v>
      </c>
      <c r="M274" s="1">
        <f>INDEX(Products!D:D,MATCH(C274,Products!A:A,0))</f>
        <v>47</v>
      </c>
      <c r="N274" s="1" t="str">
        <f t="shared" si="16"/>
        <v>Spring</v>
      </c>
      <c r="O274" s="1" t="str">
        <f t="shared" si="17"/>
        <v>20-40</v>
      </c>
      <c r="P274" s="1" t="str">
        <f t="shared" si="18"/>
        <v>Yes</v>
      </c>
      <c r="Q274" s="17" t="str">
        <f t="shared" si="19"/>
        <v>No Code</v>
      </c>
    </row>
    <row r="275" spans="1:17" x14ac:dyDescent="0.25">
      <c r="A275" s="8">
        <v>5172</v>
      </c>
      <c r="B275" s="8" t="s">
        <v>245</v>
      </c>
      <c r="C275" s="8" t="s">
        <v>211</v>
      </c>
      <c r="D275" s="10">
        <v>45936</v>
      </c>
      <c r="E275" s="8" t="s">
        <v>231</v>
      </c>
      <c r="F275" s="8"/>
      <c r="G275" s="1" t="str">
        <f>INDEX(Customers!B:B,MATCH(B275,Customers!A:A,0))</f>
        <v>Ngozi Jackson</v>
      </c>
      <c r="H275" s="1" t="str">
        <f>INDEX(Customers!E:E,MATCH(B275,Customers!A:A,0))</f>
        <v>Female</v>
      </c>
      <c r="I275" s="1">
        <f>INDEX(Customers!C:C,MATCH(B275,Customers!A:A,0))</f>
        <v>59</v>
      </c>
      <c r="J275" s="1" t="str">
        <f>INDEX(Customers!D:D,MATCH(B275,Customers!A:A,0))</f>
        <v>Abeokuta</v>
      </c>
      <c r="K275" s="1" t="str">
        <f>INDEX(Products!B:B,MATCH(C275,Products!A:A,0))</f>
        <v>Accessories</v>
      </c>
      <c r="L275" s="1" t="str">
        <f>INDEX(Products!C:C,MATCH(C275,Products!A:A,0))</f>
        <v>Bangle Set</v>
      </c>
      <c r="M275" s="1">
        <f>INDEX(Products!D:D,MATCH(C275,Products!A:A,0))</f>
        <v>22</v>
      </c>
      <c r="N275" s="1" t="str">
        <f t="shared" si="16"/>
        <v>Fall</v>
      </c>
      <c r="O275" s="1" t="str">
        <f t="shared" si="17"/>
        <v>40-60</v>
      </c>
      <c r="P275" s="1" t="str">
        <f t="shared" si="18"/>
        <v>No</v>
      </c>
      <c r="Q275" s="17" t="str">
        <f t="shared" si="19"/>
        <v>No Code</v>
      </c>
    </row>
    <row r="276" spans="1:17" x14ac:dyDescent="0.25">
      <c r="A276" s="8">
        <v>5180</v>
      </c>
      <c r="B276" s="8" t="s">
        <v>162</v>
      </c>
      <c r="C276" s="8" t="s">
        <v>200</v>
      </c>
      <c r="D276" s="10">
        <v>46161</v>
      </c>
      <c r="E276" s="8" t="s">
        <v>234</v>
      </c>
      <c r="F276" s="8"/>
      <c r="G276" s="1" t="str">
        <f>INDEX(Customers!B:B,MATCH(B276,Customers!A:A,0))</f>
        <v>Peter Abubakar</v>
      </c>
      <c r="H276" s="1" t="str">
        <f>INDEX(Customers!E:E,MATCH(B276,Customers!A:A,0))</f>
        <v>Male</v>
      </c>
      <c r="I276" s="1">
        <f>INDEX(Customers!C:C,MATCH(B276,Customers!A:A,0))</f>
        <v>30</v>
      </c>
      <c r="J276" s="1" t="str">
        <f>INDEX(Customers!D:D,MATCH(B276,Customers!A:A,0))</f>
        <v>Unknown</v>
      </c>
      <c r="K276" s="1" t="str">
        <f>INDEX(Products!B:B,MATCH(C276,Products!A:A,0))</f>
        <v>Accessories</v>
      </c>
      <c r="L276" s="1" t="str">
        <f>INDEX(Products!C:C,MATCH(C276,Products!A:A,0))</f>
        <v>Beaded Necklace</v>
      </c>
      <c r="M276" s="1">
        <f>INDEX(Products!D:D,MATCH(C276,Products!A:A,0))</f>
        <v>25</v>
      </c>
      <c r="N276" s="1" t="str">
        <f t="shared" si="16"/>
        <v>Spring</v>
      </c>
      <c r="O276" s="1" t="str">
        <f t="shared" si="17"/>
        <v>20-40</v>
      </c>
      <c r="P276" s="1" t="str">
        <f t="shared" si="18"/>
        <v>No</v>
      </c>
      <c r="Q276" s="17" t="str">
        <f t="shared" si="19"/>
        <v>No Code</v>
      </c>
    </row>
    <row r="277" spans="1:17" x14ac:dyDescent="0.25">
      <c r="A277" s="8">
        <v>5107</v>
      </c>
      <c r="B277" s="8" t="s">
        <v>50</v>
      </c>
      <c r="C277" s="8" t="s">
        <v>194</v>
      </c>
      <c r="D277" s="10">
        <v>46014</v>
      </c>
      <c r="E277" s="8" t="s">
        <v>352</v>
      </c>
      <c r="F277" s="8" t="s">
        <v>223</v>
      </c>
      <c r="G277" s="1" t="str">
        <f>INDEX(Customers!B:B,MATCH(B277,Customers!A:A,0))</f>
        <v>Mark Balogun</v>
      </c>
      <c r="H277" s="1" t="str">
        <f>INDEX(Customers!E:E,MATCH(B277,Customers!A:A,0))</f>
        <v>Male</v>
      </c>
      <c r="I277" s="1">
        <f>INDEX(Customers!C:C,MATCH(B277,Customers!A:A,0))</f>
        <v>19</v>
      </c>
      <c r="J277" s="1" t="str">
        <f>INDEX(Customers!D:D,MATCH(B277,Customers!A:A,0))</f>
        <v>Lagos</v>
      </c>
      <c r="K277" s="1" t="str">
        <f>INDEX(Products!B:B,MATCH(C277,Products!A:A,0))</f>
        <v>Clothing</v>
      </c>
      <c r="L277" s="1" t="str">
        <f>INDEX(Products!C:C,MATCH(C277,Products!A:A,0))</f>
        <v>Jumpsuit</v>
      </c>
      <c r="M277" s="1">
        <f>INDEX(Products!D:D,MATCH(C277,Products!A:A,0))</f>
        <v>76</v>
      </c>
      <c r="N277" s="1" t="str">
        <f t="shared" si="16"/>
        <v>Winter</v>
      </c>
      <c r="O277" s="1" t="str">
        <f t="shared" si="17"/>
        <v>&lt;20</v>
      </c>
      <c r="P277" s="1" t="str">
        <f t="shared" si="18"/>
        <v>Yes</v>
      </c>
      <c r="Q277" s="17" t="str">
        <f t="shared" si="19"/>
        <v>Used Code</v>
      </c>
    </row>
    <row r="278" spans="1:17" x14ac:dyDescent="0.25">
      <c r="A278" s="8">
        <v>5055</v>
      </c>
      <c r="B278" s="8" t="s">
        <v>63</v>
      </c>
      <c r="C278" s="8" t="s">
        <v>192</v>
      </c>
      <c r="D278" s="10">
        <v>45814</v>
      </c>
      <c r="E278" s="8" t="s">
        <v>234</v>
      </c>
      <c r="F278" s="8" t="s">
        <v>223</v>
      </c>
      <c r="G278" s="1" t="str">
        <f>INDEX(Customers!B:B,MATCH(B278,Customers!A:A,0))</f>
        <v>Daniel Jackson</v>
      </c>
      <c r="H278" s="1" t="str">
        <f>INDEX(Customers!E:E,MATCH(B278,Customers!A:A,0))</f>
        <v>Male</v>
      </c>
      <c r="I278" s="1">
        <f>INDEX(Customers!C:C,MATCH(B278,Customers!A:A,0))</f>
        <v>42</v>
      </c>
      <c r="J278" s="1" t="str">
        <f>INDEX(Customers!D:D,MATCH(B278,Customers!A:A,0))</f>
        <v>Ilorin</v>
      </c>
      <c r="K278" s="1" t="str">
        <f>INDEX(Products!B:B,MATCH(C278,Products!A:A,0))</f>
        <v>Clothing</v>
      </c>
      <c r="L278" s="1" t="str">
        <f>INDEX(Products!C:C,MATCH(C278,Products!A:A,0))</f>
        <v>Blazer</v>
      </c>
      <c r="M278" s="1">
        <f>INDEX(Products!D:D,MATCH(C278,Products!A:A,0))</f>
        <v>135</v>
      </c>
      <c r="N278" s="1" t="str">
        <f t="shared" si="16"/>
        <v>Summer</v>
      </c>
      <c r="O278" s="1" t="str">
        <f t="shared" si="17"/>
        <v>40-60</v>
      </c>
      <c r="P278" s="1" t="str">
        <f t="shared" si="18"/>
        <v>Yes</v>
      </c>
      <c r="Q278" s="17" t="str">
        <f t="shared" si="19"/>
        <v>Used Code</v>
      </c>
    </row>
    <row r="279" spans="1:17" x14ac:dyDescent="0.25">
      <c r="A279" s="8">
        <v>5116</v>
      </c>
      <c r="B279" s="8" t="s">
        <v>139</v>
      </c>
      <c r="C279" s="8" t="s">
        <v>198</v>
      </c>
      <c r="D279" s="10">
        <v>45877</v>
      </c>
      <c r="E279" s="8" t="s">
        <v>231</v>
      </c>
      <c r="F279" s="8" t="s">
        <v>223</v>
      </c>
      <c r="G279" s="1" t="str">
        <f>INDEX(Customers!B:B,MATCH(B279,Customers!A:A,0))</f>
        <v>Aisha Bello</v>
      </c>
      <c r="H279" s="1" t="str">
        <f>INDEX(Customers!E:E,MATCH(B279,Customers!A:A,0))</f>
        <v>Female</v>
      </c>
      <c r="I279" s="1">
        <f>INDEX(Customers!C:C,MATCH(B279,Customers!A:A,0))</f>
        <v>32</v>
      </c>
      <c r="J279" s="1" t="str">
        <f>INDEX(Customers!D:D,MATCH(B279,Customers!A:A,0))</f>
        <v>Kaduna</v>
      </c>
      <c r="K279" s="1" t="str">
        <f>INDEX(Products!B:B,MATCH(C279,Products!A:A,0))</f>
        <v>Clothing</v>
      </c>
      <c r="L279" s="1" t="str">
        <f>INDEX(Products!C:C,MATCH(C279,Products!A:A,0))</f>
        <v>Knit Sweater</v>
      </c>
      <c r="M279" s="1">
        <f>INDEX(Products!D:D,MATCH(C279,Products!A:A,0))</f>
        <v>58</v>
      </c>
      <c r="N279" s="1" t="str">
        <f t="shared" si="16"/>
        <v>Summer</v>
      </c>
      <c r="O279" s="1" t="str">
        <f t="shared" si="17"/>
        <v>20-40</v>
      </c>
      <c r="P279" s="1" t="str">
        <f t="shared" si="18"/>
        <v>Yes</v>
      </c>
      <c r="Q279" s="17" t="str">
        <f t="shared" si="19"/>
        <v>Used Code</v>
      </c>
    </row>
    <row r="280" spans="1:17" x14ac:dyDescent="0.25">
      <c r="A280" s="8">
        <v>5199</v>
      </c>
      <c r="B280" s="8" t="s">
        <v>112</v>
      </c>
      <c r="C280" s="8" t="s">
        <v>205</v>
      </c>
      <c r="D280" s="10">
        <v>46086</v>
      </c>
      <c r="E280" s="8" t="s">
        <v>233</v>
      </c>
      <c r="F280" s="8"/>
      <c r="G280" s="1" t="str">
        <f>INDEX(Customers!B:B,MATCH(B280,Customers!A:A,0))</f>
        <v>Ifeoma Martin</v>
      </c>
      <c r="H280" s="1" t="str">
        <f>INDEX(Customers!E:E,MATCH(B280,Customers!A:A,0))</f>
        <v>Female</v>
      </c>
      <c r="I280" s="1">
        <f>INDEX(Customers!C:C,MATCH(B280,Customers!A:A,0))</f>
        <v>22</v>
      </c>
      <c r="J280" s="1" t="str">
        <f>INDEX(Customers!D:D,MATCH(B280,Customers!A:A,0))</f>
        <v>Kano</v>
      </c>
      <c r="K280" s="1" t="str">
        <f>INDEX(Products!B:B,MATCH(C280,Products!A:A,0))</f>
        <v>Accessories</v>
      </c>
      <c r="L280" s="1" t="str">
        <f>INDEX(Products!C:C,MATCH(C280,Products!A:A,0))</f>
        <v>Sunglasses</v>
      </c>
      <c r="M280" s="1">
        <f>INDEX(Products!D:D,MATCH(C280,Products!A:A,0))</f>
        <v>38</v>
      </c>
      <c r="N280" s="1" t="str">
        <f t="shared" si="16"/>
        <v>Spring</v>
      </c>
      <c r="O280" s="1" t="str">
        <f t="shared" si="17"/>
        <v>20-40</v>
      </c>
      <c r="P280" s="1" t="str">
        <f t="shared" si="18"/>
        <v>Yes</v>
      </c>
      <c r="Q280" s="17" t="str">
        <f t="shared" si="19"/>
        <v>No Code</v>
      </c>
    </row>
    <row r="281" spans="1:17" x14ac:dyDescent="0.25">
      <c r="A281" s="8">
        <v>5016</v>
      </c>
      <c r="B281" s="8" t="s">
        <v>38</v>
      </c>
      <c r="C281" s="8" t="s">
        <v>219</v>
      </c>
      <c r="D281" s="10">
        <v>46157</v>
      </c>
      <c r="E281" s="8" t="s">
        <v>233</v>
      </c>
      <c r="F281" s="8" t="s">
        <v>226</v>
      </c>
      <c r="G281" s="1" t="str">
        <f>INDEX(Customers!B:B,MATCH(B281,Customers!A:A,0))</f>
        <v>Linda Smith</v>
      </c>
      <c r="H281" s="1" t="str">
        <f>INDEX(Customers!E:E,MATCH(B281,Customers!A:A,0))</f>
        <v>Female</v>
      </c>
      <c r="I281" s="1">
        <f>INDEX(Customers!C:C,MATCH(B281,Customers!A:A,0))</f>
        <v>54</v>
      </c>
      <c r="J281" s="1" t="str">
        <f>INDEX(Customers!D:D,MATCH(B281,Customers!A:A,0))</f>
        <v>Uyo</v>
      </c>
      <c r="K281" s="1" t="str">
        <f>INDEX(Products!B:B,MATCH(C281,Products!A:A,0))</f>
        <v>Accessories</v>
      </c>
      <c r="L281" s="1" t="str">
        <f>INDEX(Products!C:C,MATCH(C281,Products!A:A,0))</f>
        <v>Waist Belt</v>
      </c>
      <c r="M281" s="1">
        <f>INDEX(Products!D:D,MATCH(C281,Products!A:A,0))</f>
        <v>33</v>
      </c>
      <c r="N281" s="1" t="str">
        <f t="shared" si="16"/>
        <v>Spring</v>
      </c>
      <c r="O281" s="1" t="str">
        <f t="shared" si="17"/>
        <v>40-60</v>
      </c>
      <c r="P281" s="1" t="str">
        <f t="shared" si="18"/>
        <v>Yes</v>
      </c>
      <c r="Q281" s="17" t="str">
        <f t="shared" si="19"/>
        <v>Used Code</v>
      </c>
    </row>
    <row r="282" spans="1:17" x14ac:dyDescent="0.25">
      <c r="A282" s="8">
        <v>5106</v>
      </c>
      <c r="B282" s="8" t="s">
        <v>50</v>
      </c>
      <c r="C282" s="8" t="s">
        <v>190</v>
      </c>
      <c r="D282" s="10">
        <v>45824</v>
      </c>
      <c r="E282" s="8" t="s">
        <v>352</v>
      </c>
      <c r="F282" s="8"/>
      <c r="G282" s="1" t="str">
        <f>INDEX(Customers!B:B,MATCH(B282,Customers!A:A,0))</f>
        <v>Mark Balogun</v>
      </c>
      <c r="H282" s="1" t="str">
        <f>INDEX(Customers!E:E,MATCH(B282,Customers!A:A,0))</f>
        <v>Male</v>
      </c>
      <c r="I282" s="1">
        <f>INDEX(Customers!C:C,MATCH(B282,Customers!A:A,0))</f>
        <v>19</v>
      </c>
      <c r="J282" s="1" t="str">
        <f>INDEX(Customers!D:D,MATCH(B282,Customers!A:A,0))</f>
        <v>Lagos</v>
      </c>
      <c r="K282" s="1" t="str">
        <f>INDEX(Products!B:B,MATCH(C282,Products!A:A,0))</f>
        <v>Clothing</v>
      </c>
      <c r="L282" s="1" t="str">
        <f>INDEX(Products!C:C,MATCH(C282,Products!A:A,0))</f>
        <v>Kaftan</v>
      </c>
      <c r="M282" s="1">
        <f>INDEX(Products!D:D,MATCH(C282,Products!A:A,0))</f>
        <v>89</v>
      </c>
      <c r="N282" s="1" t="str">
        <f t="shared" si="16"/>
        <v>Summer</v>
      </c>
      <c r="O282" s="1" t="str">
        <f t="shared" si="17"/>
        <v>&lt;20</v>
      </c>
      <c r="P282" s="1" t="str">
        <f t="shared" si="18"/>
        <v>Yes</v>
      </c>
      <c r="Q282" s="17" t="str">
        <f t="shared" si="19"/>
        <v>No Code</v>
      </c>
    </row>
    <row r="283" spans="1:17" x14ac:dyDescent="0.25">
      <c r="A283" s="8">
        <v>5166</v>
      </c>
      <c r="B283" s="8" t="s">
        <v>122</v>
      </c>
      <c r="C283" s="8" t="s">
        <v>215</v>
      </c>
      <c r="D283" s="10">
        <v>46065</v>
      </c>
      <c r="E283" s="8" t="s">
        <v>231</v>
      </c>
      <c r="F283" s="8" t="s">
        <v>225</v>
      </c>
      <c r="G283" s="1" t="str">
        <f>INDEX(Customers!B:B,MATCH(B283,Customers!A:A,0))</f>
        <v>Yusuf Ibrahim</v>
      </c>
      <c r="H283" s="1" t="str">
        <f>INDEX(Customers!E:E,MATCH(B283,Customers!A:A,0))</f>
        <v>Male</v>
      </c>
      <c r="I283" s="1">
        <f>INDEX(Customers!C:C,MATCH(B283,Customers!A:A,0))</f>
        <v>51</v>
      </c>
      <c r="J283" s="1" t="str">
        <f>INDEX(Customers!D:D,MATCH(B283,Customers!A:A,0))</f>
        <v>Ilorin</v>
      </c>
      <c r="K283" s="1" t="str">
        <f>INDEX(Products!B:B,MATCH(C283,Products!A:A,0))</f>
        <v>Accessories</v>
      </c>
      <c r="L283" s="1" t="str">
        <f>INDEX(Products!C:C,MATCH(C283,Products!A:A,0))</f>
        <v>Clutch Purse</v>
      </c>
      <c r="M283" s="1">
        <f>INDEX(Products!D:D,MATCH(C283,Products!A:A,0))</f>
        <v>48</v>
      </c>
      <c r="N283" s="1" t="str">
        <f t="shared" si="16"/>
        <v>Winter</v>
      </c>
      <c r="O283" s="1" t="str">
        <f t="shared" si="17"/>
        <v>40-60</v>
      </c>
      <c r="P283" s="1" t="str">
        <f t="shared" si="18"/>
        <v>No</v>
      </c>
      <c r="Q283" s="17" t="str">
        <f t="shared" si="19"/>
        <v>Used Code</v>
      </c>
    </row>
    <row r="284" spans="1:17" x14ac:dyDescent="0.25">
      <c r="A284" s="8">
        <v>5176</v>
      </c>
      <c r="B284" s="8" t="s">
        <v>79</v>
      </c>
      <c r="C284" s="8" t="s">
        <v>182</v>
      </c>
      <c r="D284" s="10">
        <v>45878</v>
      </c>
      <c r="E284" s="8" t="s">
        <v>231</v>
      </c>
      <c r="F284" s="8"/>
      <c r="G284" s="1" t="str">
        <f>INDEX(Customers!B:B,MATCH(B284,Customers!A:A,0))</f>
        <v>Tunde Eze</v>
      </c>
      <c r="H284" s="1" t="str">
        <f>INDEX(Customers!E:E,MATCH(B284,Customers!A:A,0))</f>
        <v>Male</v>
      </c>
      <c r="I284" s="1">
        <f>INDEX(Customers!C:C,MATCH(B284,Customers!A:A,0))</f>
        <v>26</v>
      </c>
      <c r="J284" s="1" t="str">
        <f>INDEX(Customers!D:D,MATCH(B284,Customers!A:A,0))</f>
        <v>Kaduna</v>
      </c>
      <c r="K284" s="1" t="str">
        <f>INDEX(Products!B:B,MATCH(C284,Products!A:A,0))</f>
        <v>Clothing</v>
      </c>
      <c r="L284" s="1" t="str">
        <f>INDEX(Products!C:C,MATCH(C284,Products!A:A,0))</f>
        <v>Denim Jacket</v>
      </c>
      <c r="M284" s="1">
        <f>INDEX(Products!D:D,MATCH(C284,Products!A:A,0))</f>
        <v>95</v>
      </c>
      <c r="N284" s="1" t="str">
        <f t="shared" si="16"/>
        <v>Summer</v>
      </c>
      <c r="O284" s="1" t="str">
        <f t="shared" si="17"/>
        <v>20-40</v>
      </c>
      <c r="P284" s="1" t="str">
        <f t="shared" si="18"/>
        <v>Yes</v>
      </c>
      <c r="Q284" s="17" t="str">
        <f t="shared" si="19"/>
        <v>No Code</v>
      </c>
    </row>
    <row r="285" spans="1:17" x14ac:dyDescent="0.25">
      <c r="A285" s="8">
        <v>5236</v>
      </c>
      <c r="B285" s="8" t="s">
        <v>26</v>
      </c>
      <c r="C285" s="8" t="s">
        <v>179</v>
      </c>
      <c r="D285" s="10">
        <v>45668</v>
      </c>
      <c r="E285" s="8" t="s">
        <v>353</v>
      </c>
      <c r="F285" s="8"/>
      <c r="G285" s="1" t="str">
        <f>INDEX(Customers!B:B,MATCH(B285,Customers!A:A,0))</f>
        <v>Blessing Moore</v>
      </c>
      <c r="H285" s="1" t="str">
        <f>INDEX(Customers!E:E,MATCH(B285,Customers!A:A,0))</f>
        <v>Female</v>
      </c>
      <c r="I285" s="1">
        <f>INDEX(Customers!C:C,MATCH(B285,Customers!A:A,0))</f>
        <v>18</v>
      </c>
      <c r="J285" s="1" t="str">
        <f>INDEX(Customers!D:D,MATCH(B285,Customers!A:A,0))</f>
        <v>Kano</v>
      </c>
      <c r="K285" s="1" t="str">
        <f>INDEX(Products!B:B,MATCH(C285,Products!A:A,0))</f>
        <v>Clothing</v>
      </c>
      <c r="L285" s="1" t="str">
        <f>INDEX(Products!C:C,MATCH(C285,Products!A:A,0))</f>
        <v>Ankara Dress</v>
      </c>
      <c r="M285" s="1">
        <f>INDEX(Products!D:D,MATCH(C285,Products!A:A,0))</f>
        <v>68</v>
      </c>
      <c r="N285" s="1" t="str">
        <f t="shared" si="16"/>
        <v>Winter</v>
      </c>
      <c r="O285" s="1" t="str">
        <f t="shared" si="17"/>
        <v>&lt;20</v>
      </c>
      <c r="P285" s="1" t="str">
        <f t="shared" si="18"/>
        <v>Yes</v>
      </c>
      <c r="Q285" s="17" t="str">
        <f t="shared" si="19"/>
        <v>No Code</v>
      </c>
    </row>
    <row r="286" spans="1:17" x14ac:dyDescent="0.25">
      <c r="A286" s="8">
        <v>5049</v>
      </c>
      <c r="B286" s="8" t="s">
        <v>152</v>
      </c>
      <c r="C286" s="8" t="s">
        <v>186</v>
      </c>
      <c r="D286" s="10">
        <v>45887</v>
      </c>
      <c r="E286" s="8" t="s">
        <v>233</v>
      </c>
      <c r="F286" s="8"/>
      <c r="G286" s="1" t="str">
        <f>INDEX(Customers!B:B,MATCH(B286,Customers!A:A,0))</f>
        <v>James Smith</v>
      </c>
      <c r="H286" s="1" t="str">
        <f>INDEX(Customers!E:E,MATCH(B286,Customers!A:A,0))</f>
        <v>Male</v>
      </c>
      <c r="I286" s="1">
        <f>INDEX(Customers!C:C,MATCH(B286,Customers!A:A,0))</f>
        <v>37</v>
      </c>
      <c r="J286" s="1" t="str">
        <f>INDEX(Customers!D:D,MATCH(B286,Customers!A:A,0))</f>
        <v>Abeokuta</v>
      </c>
      <c r="K286" s="1" t="str">
        <f>INDEX(Products!B:B,MATCH(C286,Products!A:A,0))</f>
        <v>Clothing</v>
      </c>
      <c r="L286" s="1" t="str">
        <f>INDEX(Products!C:C,MATCH(C286,Products!A:A,0))</f>
        <v>Maxi Gown</v>
      </c>
      <c r="M286" s="1">
        <f>INDEX(Products!D:D,MATCH(C286,Products!A:A,0))</f>
        <v>120</v>
      </c>
      <c r="N286" s="1" t="str">
        <f t="shared" si="16"/>
        <v>Summer</v>
      </c>
      <c r="O286" s="1" t="str">
        <f t="shared" si="17"/>
        <v>20-40</v>
      </c>
      <c r="P286" s="1" t="str">
        <f t="shared" si="18"/>
        <v>Yes</v>
      </c>
      <c r="Q286" s="17" t="str">
        <f t="shared" si="19"/>
        <v>No Code</v>
      </c>
    </row>
    <row r="287" spans="1:17" x14ac:dyDescent="0.25">
      <c r="A287" s="8">
        <v>5228</v>
      </c>
      <c r="B287" s="8" t="s">
        <v>23</v>
      </c>
      <c r="C287" s="8" t="s">
        <v>190</v>
      </c>
      <c r="D287" s="10">
        <v>45814</v>
      </c>
      <c r="E287" s="8" t="s">
        <v>352</v>
      </c>
      <c r="F287" s="8"/>
      <c r="G287" s="1" t="str">
        <f>INDEX(Customers!B:B,MATCH(B287,Customers!A:A,0))</f>
        <v>Amara Johnson</v>
      </c>
      <c r="H287" s="1" t="str">
        <f>INDEX(Customers!E:E,MATCH(B287,Customers!A:A,0))</f>
        <v>Female</v>
      </c>
      <c r="I287" s="1">
        <f>INDEX(Customers!C:C,MATCH(B287,Customers!A:A,0))</f>
        <v>58</v>
      </c>
      <c r="J287" s="1" t="str">
        <f>INDEX(Customers!D:D,MATCH(B287,Customers!A:A,0))</f>
        <v>Warri</v>
      </c>
      <c r="K287" s="1" t="str">
        <f>INDEX(Products!B:B,MATCH(C287,Products!A:A,0))</f>
        <v>Clothing</v>
      </c>
      <c r="L287" s="1" t="str">
        <f>INDEX(Products!C:C,MATCH(C287,Products!A:A,0))</f>
        <v>Kaftan</v>
      </c>
      <c r="M287" s="1">
        <f>INDEX(Products!D:D,MATCH(C287,Products!A:A,0))</f>
        <v>89</v>
      </c>
      <c r="N287" s="1" t="str">
        <f t="shared" si="16"/>
        <v>Summer</v>
      </c>
      <c r="O287" s="1" t="str">
        <f t="shared" si="17"/>
        <v>40-60</v>
      </c>
      <c r="P287" s="1" t="str">
        <f t="shared" si="18"/>
        <v>Yes</v>
      </c>
      <c r="Q287" s="17" t="str">
        <f t="shared" si="19"/>
        <v>No Code</v>
      </c>
    </row>
    <row r="288" spans="1:17" x14ac:dyDescent="0.25">
      <c r="A288" s="8">
        <v>5089</v>
      </c>
      <c r="B288" s="8" t="s">
        <v>86</v>
      </c>
      <c r="C288" s="8" t="s">
        <v>217</v>
      </c>
      <c r="D288" s="10">
        <v>45945</v>
      </c>
      <c r="E288" s="8" t="s">
        <v>231</v>
      </c>
      <c r="F288" s="8" t="s">
        <v>223</v>
      </c>
      <c r="G288" s="1" t="str">
        <f>INDEX(Customers!B:B,MATCH(B288,Customers!A:A,0))</f>
        <v>Grace Aliyu</v>
      </c>
      <c r="H288" s="1" t="str">
        <f>INDEX(Customers!E:E,MATCH(B288,Customers!A:A,0))</f>
        <v>Female</v>
      </c>
      <c r="I288" s="1">
        <f>INDEX(Customers!C:C,MATCH(B288,Customers!A:A,0))</f>
        <v>49</v>
      </c>
      <c r="J288" s="1" t="str">
        <f>INDEX(Customers!D:D,MATCH(B288,Customers!A:A,0))</f>
        <v>Kaduna</v>
      </c>
      <c r="K288" s="1" t="str">
        <f>INDEX(Products!B:B,MATCH(C288,Products!A:A,0))</f>
        <v>Accessories</v>
      </c>
      <c r="L288" s="1" t="str">
        <f>INDEX(Products!C:C,MATCH(C288,Products!A:A,0))</f>
        <v>Earrings</v>
      </c>
      <c r="M288" s="1">
        <f>INDEX(Products!D:D,MATCH(C288,Products!A:A,0))</f>
        <v>19</v>
      </c>
      <c r="N288" s="1" t="str">
        <f t="shared" si="16"/>
        <v>Fall</v>
      </c>
      <c r="O288" s="1" t="str">
        <f t="shared" si="17"/>
        <v>40-60</v>
      </c>
      <c r="P288" s="1" t="str">
        <f t="shared" si="18"/>
        <v>Yes</v>
      </c>
      <c r="Q288" s="17" t="str">
        <f t="shared" si="19"/>
        <v>Used Code</v>
      </c>
    </row>
    <row r="289" spans="1:17" x14ac:dyDescent="0.25">
      <c r="A289" s="8">
        <v>5210</v>
      </c>
      <c r="B289" s="8" t="s">
        <v>87</v>
      </c>
      <c r="C289" s="8" t="s">
        <v>192</v>
      </c>
      <c r="D289" s="10">
        <v>46025</v>
      </c>
      <c r="E289" s="8" t="s">
        <v>231</v>
      </c>
      <c r="F289" s="8"/>
      <c r="G289" s="1" t="str">
        <f>INDEX(Customers!B:B,MATCH(B289,Customers!A:A,0))</f>
        <v>Laura Davis</v>
      </c>
      <c r="H289" s="1" t="str">
        <f>INDEX(Customers!E:E,MATCH(B289,Customers!A:A,0))</f>
        <v>Female</v>
      </c>
      <c r="I289" s="1">
        <f>INDEX(Customers!C:C,MATCH(B289,Customers!A:A,0))</f>
        <v>58</v>
      </c>
      <c r="J289" s="1" t="str">
        <f>INDEX(Customers!D:D,MATCH(B289,Customers!A:A,0))</f>
        <v>Kano</v>
      </c>
      <c r="K289" s="1" t="str">
        <f>INDEX(Products!B:B,MATCH(C289,Products!A:A,0))</f>
        <v>Clothing</v>
      </c>
      <c r="L289" s="1" t="str">
        <f>INDEX(Products!C:C,MATCH(C289,Products!A:A,0))</f>
        <v>Blazer</v>
      </c>
      <c r="M289" s="1">
        <f>INDEX(Products!D:D,MATCH(C289,Products!A:A,0))</f>
        <v>135</v>
      </c>
      <c r="N289" s="1" t="str">
        <f t="shared" si="16"/>
        <v>Winter</v>
      </c>
      <c r="O289" s="1" t="str">
        <f t="shared" si="17"/>
        <v>40-60</v>
      </c>
      <c r="P289" s="1" t="str">
        <f t="shared" si="18"/>
        <v>Yes</v>
      </c>
      <c r="Q289" s="17" t="str">
        <f t="shared" si="19"/>
        <v>No Code</v>
      </c>
    </row>
    <row r="290" spans="1:17" x14ac:dyDescent="0.25">
      <c r="A290" s="8">
        <v>5203</v>
      </c>
      <c r="B290" s="8" t="s">
        <v>115</v>
      </c>
      <c r="C290" s="8" t="s">
        <v>213</v>
      </c>
      <c r="D290" s="10">
        <v>45943</v>
      </c>
      <c r="E290" s="8" t="s">
        <v>233</v>
      </c>
      <c r="F290" s="8" t="s">
        <v>225</v>
      </c>
      <c r="G290" s="1" t="str">
        <f>INDEX(Customers!B:B,MATCH(B290,Customers!A:A,0))</f>
        <v>Fatima Chukwu</v>
      </c>
      <c r="H290" s="1" t="str">
        <f>INDEX(Customers!E:E,MATCH(B290,Customers!A:A,0))</f>
        <v>Female</v>
      </c>
      <c r="I290" s="1">
        <f>INDEX(Customers!C:C,MATCH(B290,Customers!A:A,0))</f>
        <v>34</v>
      </c>
      <c r="J290" s="1" t="str">
        <f>INDEX(Customers!D:D,MATCH(B290,Customers!A:A,0))</f>
        <v>Abuja</v>
      </c>
      <c r="K290" s="1" t="str">
        <f>INDEX(Products!B:B,MATCH(C290,Products!A:A,0))</f>
        <v>Accessories</v>
      </c>
      <c r="L290" s="1" t="str">
        <f>INDEX(Products!C:C,MATCH(C290,Products!A:A,0))</f>
        <v>Ankle Boots</v>
      </c>
      <c r="M290" s="1">
        <f>INDEX(Products!D:D,MATCH(C290,Products!A:A,0))</f>
        <v>110</v>
      </c>
      <c r="N290" s="1" t="str">
        <f t="shared" si="16"/>
        <v>Fall</v>
      </c>
      <c r="O290" s="1" t="str">
        <f t="shared" si="17"/>
        <v>20-40</v>
      </c>
      <c r="P290" s="1" t="str">
        <f t="shared" si="18"/>
        <v>Yes</v>
      </c>
      <c r="Q290" s="17" t="str">
        <f t="shared" si="19"/>
        <v>Used Code</v>
      </c>
    </row>
    <row r="291" spans="1:17" x14ac:dyDescent="0.25">
      <c r="A291" s="8">
        <v>5156</v>
      </c>
      <c r="B291" s="8" t="s">
        <v>21</v>
      </c>
      <c r="C291" s="8" t="s">
        <v>205</v>
      </c>
      <c r="D291" s="10">
        <v>46038</v>
      </c>
      <c r="E291" s="8" t="s">
        <v>231</v>
      </c>
      <c r="F291" s="8"/>
      <c r="G291" s="1" t="str">
        <f>INDEX(Customers!B:B,MATCH(B291,Customers!A:A,0))</f>
        <v>Laura Eze</v>
      </c>
      <c r="H291" s="1" t="str">
        <f>INDEX(Customers!E:E,MATCH(B291,Customers!A:A,0))</f>
        <v>Female</v>
      </c>
      <c r="I291" s="1">
        <f>INDEX(Customers!C:C,MATCH(B291,Customers!A:A,0))</f>
        <v>20</v>
      </c>
      <c r="J291" s="1" t="str">
        <f>INDEX(Customers!D:D,MATCH(B291,Customers!A:A,0))</f>
        <v>Jos</v>
      </c>
      <c r="K291" s="1" t="str">
        <f>INDEX(Products!B:B,MATCH(C291,Products!A:A,0))</f>
        <v>Accessories</v>
      </c>
      <c r="L291" s="1" t="str">
        <f>INDEX(Products!C:C,MATCH(C291,Products!A:A,0))</f>
        <v>Sunglasses</v>
      </c>
      <c r="M291" s="1">
        <f>INDEX(Products!D:D,MATCH(C291,Products!A:A,0))</f>
        <v>38</v>
      </c>
      <c r="N291" s="1" t="str">
        <f t="shared" si="16"/>
        <v>Winter</v>
      </c>
      <c r="O291" s="1" t="str">
        <f t="shared" si="17"/>
        <v>20-40</v>
      </c>
      <c r="P291" s="1" t="str">
        <f t="shared" si="18"/>
        <v>No</v>
      </c>
      <c r="Q291" s="17" t="str">
        <f t="shared" si="19"/>
        <v>No Code</v>
      </c>
    </row>
    <row r="292" spans="1:17" x14ac:dyDescent="0.25">
      <c r="A292" s="8">
        <v>5131</v>
      </c>
      <c r="B292" s="8" t="s">
        <v>92</v>
      </c>
      <c r="C292" s="8" t="s">
        <v>200</v>
      </c>
      <c r="D292" s="10">
        <v>46120</v>
      </c>
      <c r="E292" s="8" t="s">
        <v>352</v>
      </c>
      <c r="F292" s="8"/>
      <c r="G292" s="1" t="str">
        <f>INDEX(Customers!B:B,MATCH(B292,Customers!A:A,0))</f>
        <v>Sarah Williams</v>
      </c>
      <c r="H292" s="1" t="str">
        <f>INDEX(Customers!E:E,MATCH(B292,Customers!A:A,0))</f>
        <v>Female</v>
      </c>
      <c r="I292" s="1">
        <f>INDEX(Customers!C:C,MATCH(B292,Customers!A:A,0))</f>
        <v>26</v>
      </c>
      <c r="J292" s="1" t="str">
        <f>INDEX(Customers!D:D,MATCH(B292,Customers!A:A,0))</f>
        <v>Lagos</v>
      </c>
      <c r="K292" s="1" t="str">
        <f>INDEX(Products!B:B,MATCH(C292,Products!A:A,0))</f>
        <v>Accessories</v>
      </c>
      <c r="L292" s="1" t="str">
        <f>INDEX(Products!C:C,MATCH(C292,Products!A:A,0))</f>
        <v>Beaded Necklace</v>
      </c>
      <c r="M292" s="1">
        <f>INDEX(Products!D:D,MATCH(C292,Products!A:A,0))</f>
        <v>25</v>
      </c>
      <c r="N292" s="1" t="str">
        <f t="shared" si="16"/>
        <v>Spring</v>
      </c>
      <c r="O292" s="1" t="str">
        <f t="shared" si="17"/>
        <v>20-40</v>
      </c>
      <c r="P292" s="1" t="str">
        <f t="shared" si="18"/>
        <v>Yes</v>
      </c>
      <c r="Q292" s="17" t="str">
        <f t="shared" si="19"/>
        <v>No Code</v>
      </c>
    </row>
    <row r="293" spans="1:17" x14ac:dyDescent="0.25">
      <c r="A293" s="8">
        <v>5052</v>
      </c>
      <c r="B293" s="8" t="s">
        <v>152</v>
      </c>
      <c r="C293" s="8" t="s">
        <v>179</v>
      </c>
      <c r="D293" s="10">
        <v>46078</v>
      </c>
      <c r="E293" s="8" t="s">
        <v>352</v>
      </c>
      <c r="F293" s="8" t="s">
        <v>223</v>
      </c>
      <c r="G293" s="1" t="str">
        <f>INDEX(Customers!B:B,MATCH(B293,Customers!A:A,0))</f>
        <v>James Smith</v>
      </c>
      <c r="H293" s="1" t="str">
        <f>INDEX(Customers!E:E,MATCH(B293,Customers!A:A,0))</f>
        <v>Male</v>
      </c>
      <c r="I293" s="1">
        <f>INDEX(Customers!C:C,MATCH(B293,Customers!A:A,0))</f>
        <v>37</v>
      </c>
      <c r="J293" s="1" t="str">
        <f>INDEX(Customers!D:D,MATCH(B293,Customers!A:A,0))</f>
        <v>Abeokuta</v>
      </c>
      <c r="K293" s="1" t="str">
        <f>INDEX(Products!B:B,MATCH(C293,Products!A:A,0))</f>
        <v>Clothing</v>
      </c>
      <c r="L293" s="1" t="str">
        <f>INDEX(Products!C:C,MATCH(C293,Products!A:A,0))</f>
        <v>Ankara Dress</v>
      </c>
      <c r="M293" s="1">
        <f>INDEX(Products!D:D,MATCH(C293,Products!A:A,0))</f>
        <v>68</v>
      </c>
      <c r="N293" s="1" t="str">
        <f t="shared" si="16"/>
        <v>Winter</v>
      </c>
      <c r="O293" s="1" t="str">
        <f t="shared" si="17"/>
        <v>20-40</v>
      </c>
      <c r="P293" s="1" t="str">
        <f t="shared" si="18"/>
        <v>Yes</v>
      </c>
      <c r="Q293" s="17" t="str">
        <f t="shared" si="19"/>
        <v>Used Code</v>
      </c>
    </row>
    <row r="294" spans="1:17" x14ac:dyDescent="0.25">
      <c r="A294" s="8">
        <v>5092</v>
      </c>
      <c r="B294" s="8" t="s">
        <v>244</v>
      </c>
      <c r="C294" s="8" t="s">
        <v>217</v>
      </c>
      <c r="D294" s="10">
        <v>45723</v>
      </c>
      <c r="E294" s="8" t="s">
        <v>352</v>
      </c>
      <c r="F294" s="8"/>
      <c r="G294" s="1" t="str">
        <f>INDEX(Customers!B:B,MATCH(B294,Customers!A:A,0))</f>
        <v>Paul Davis</v>
      </c>
      <c r="H294" s="1" t="str">
        <f>INDEX(Customers!E:E,MATCH(B294,Customers!A:A,0))</f>
        <v>Male</v>
      </c>
      <c r="I294" s="1">
        <f>INDEX(Customers!C:C,MATCH(B294,Customers!A:A,0))</f>
        <v>23</v>
      </c>
      <c r="J294" s="1" t="str">
        <f>INDEX(Customers!D:D,MATCH(B294,Customers!A:A,0))</f>
        <v>Port Harcourt</v>
      </c>
      <c r="K294" s="1" t="str">
        <f>INDEX(Products!B:B,MATCH(C294,Products!A:A,0))</f>
        <v>Accessories</v>
      </c>
      <c r="L294" s="1" t="str">
        <f>INDEX(Products!C:C,MATCH(C294,Products!A:A,0))</f>
        <v>Earrings</v>
      </c>
      <c r="M294" s="1">
        <f>INDEX(Products!D:D,MATCH(C294,Products!A:A,0))</f>
        <v>19</v>
      </c>
      <c r="N294" s="1" t="str">
        <f t="shared" si="16"/>
        <v>Spring</v>
      </c>
      <c r="O294" s="1" t="str">
        <f t="shared" si="17"/>
        <v>20-40</v>
      </c>
      <c r="P294" s="1" t="str">
        <f t="shared" si="18"/>
        <v>Yes</v>
      </c>
      <c r="Q294" s="17" t="str">
        <f t="shared" si="19"/>
        <v>No Code</v>
      </c>
    </row>
    <row r="295" spans="1:17" x14ac:dyDescent="0.25">
      <c r="A295" s="8">
        <v>5231</v>
      </c>
      <c r="B295" s="8" t="s">
        <v>141</v>
      </c>
      <c r="C295" s="8" t="s">
        <v>192</v>
      </c>
      <c r="D295" s="10">
        <v>46129</v>
      </c>
      <c r="E295" s="8" t="s">
        <v>233</v>
      </c>
      <c r="F295" s="8"/>
      <c r="G295" s="1" t="str">
        <f>INDEX(Customers!B:B,MATCH(B295,Customers!A:A,0))</f>
        <v>Steven Williams</v>
      </c>
      <c r="H295" s="1" t="str">
        <f>INDEX(Customers!E:E,MATCH(B295,Customers!A:A,0))</f>
        <v>Male</v>
      </c>
      <c r="I295" s="1">
        <f>INDEX(Customers!C:C,MATCH(B295,Customers!A:A,0))</f>
        <v>21</v>
      </c>
      <c r="J295" s="1" t="str">
        <f>INDEX(Customers!D:D,MATCH(B295,Customers!A:A,0))</f>
        <v>Unknown</v>
      </c>
      <c r="K295" s="1" t="str">
        <f>INDEX(Products!B:B,MATCH(C295,Products!A:A,0))</f>
        <v>Clothing</v>
      </c>
      <c r="L295" s="1" t="str">
        <f>INDEX(Products!C:C,MATCH(C295,Products!A:A,0))</f>
        <v>Blazer</v>
      </c>
      <c r="M295" s="1">
        <f>INDEX(Products!D:D,MATCH(C295,Products!A:A,0))</f>
        <v>135</v>
      </c>
      <c r="N295" s="1" t="str">
        <f t="shared" si="16"/>
        <v>Spring</v>
      </c>
      <c r="O295" s="1" t="str">
        <f t="shared" si="17"/>
        <v>20-40</v>
      </c>
      <c r="P295" s="1" t="str">
        <f t="shared" si="18"/>
        <v>Yes</v>
      </c>
      <c r="Q295" s="17" t="str">
        <f t="shared" si="19"/>
        <v>No Code</v>
      </c>
    </row>
    <row r="296" spans="1:17" x14ac:dyDescent="0.25">
      <c r="A296" s="8">
        <v>5141</v>
      </c>
      <c r="B296" s="8" t="s">
        <v>81</v>
      </c>
      <c r="C296" s="8" t="s">
        <v>192</v>
      </c>
      <c r="D296" s="10">
        <v>46164</v>
      </c>
      <c r="E296" s="8" t="s">
        <v>353</v>
      </c>
      <c r="F296" s="8"/>
      <c r="G296" s="1" t="str">
        <f>INDEX(Customers!B:B,MATCH(B296,Customers!A:A,0))</f>
        <v>Amara Eze</v>
      </c>
      <c r="H296" s="1" t="str">
        <f>INDEX(Customers!E:E,MATCH(B296,Customers!A:A,0))</f>
        <v>Female</v>
      </c>
      <c r="I296" s="1">
        <f>INDEX(Customers!C:C,MATCH(B296,Customers!A:A,0))</f>
        <v>39</v>
      </c>
      <c r="J296" s="1" t="str">
        <f>INDEX(Customers!D:D,MATCH(B296,Customers!A:A,0))</f>
        <v>Kano</v>
      </c>
      <c r="K296" s="1" t="str">
        <f>INDEX(Products!B:B,MATCH(C296,Products!A:A,0))</f>
        <v>Clothing</v>
      </c>
      <c r="L296" s="1" t="str">
        <f>INDEX(Products!C:C,MATCH(C296,Products!A:A,0))</f>
        <v>Blazer</v>
      </c>
      <c r="M296" s="1">
        <f>INDEX(Products!D:D,MATCH(C296,Products!A:A,0))</f>
        <v>135</v>
      </c>
      <c r="N296" s="1" t="str">
        <f t="shared" si="16"/>
        <v>Spring</v>
      </c>
      <c r="O296" s="1" t="str">
        <f t="shared" si="17"/>
        <v>20-40</v>
      </c>
      <c r="P296" s="1" t="str">
        <f t="shared" si="18"/>
        <v>No</v>
      </c>
      <c r="Q296" s="17" t="str">
        <f t="shared" si="19"/>
        <v>No Code</v>
      </c>
    </row>
    <row r="297" spans="1:17" x14ac:dyDescent="0.25">
      <c r="A297" s="8">
        <v>5262</v>
      </c>
      <c r="B297" s="8" t="s">
        <v>142</v>
      </c>
      <c r="C297" s="8" t="s">
        <v>192</v>
      </c>
      <c r="D297" s="10">
        <v>45810</v>
      </c>
      <c r="E297" s="8" t="s">
        <v>353</v>
      </c>
      <c r="F297" s="8"/>
      <c r="G297" s="1" t="str">
        <f>INDEX(Customers!B:B,MATCH(B297,Customers!A:A,0))</f>
        <v>Tunde Davis</v>
      </c>
      <c r="H297" s="1" t="str">
        <f>INDEX(Customers!E:E,MATCH(B297,Customers!A:A,0))</f>
        <v>Male</v>
      </c>
      <c r="I297" s="1">
        <f>INDEX(Customers!C:C,MATCH(B297,Customers!A:A,0))</f>
        <v>57</v>
      </c>
      <c r="J297" s="1" t="str">
        <f>INDEX(Customers!D:D,MATCH(B297,Customers!A:A,0))</f>
        <v>Abeokuta</v>
      </c>
      <c r="K297" s="1" t="str">
        <f>INDEX(Products!B:B,MATCH(C297,Products!A:A,0))</f>
        <v>Clothing</v>
      </c>
      <c r="L297" s="1" t="str">
        <f>INDEX(Products!C:C,MATCH(C297,Products!A:A,0))</f>
        <v>Blazer</v>
      </c>
      <c r="M297" s="1">
        <f>INDEX(Products!D:D,MATCH(C297,Products!A:A,0))</f>
        <v>135</v>
      </c>
      <c r="N297" s="1" t="str">
        <f t="shared" si="16"/>
        <v>Summer</v>
      </c>
      <c r="O297" s="1" t="str">
        <f t="shared" si="17"/>
        <v>40-60</v>
      </c>
      <c r="P297" s="1" t="str">
        <f t="shared" si="18"/>
        <v>Yes</v>
      </c>
      <c r="Q297" s="17" t="str">
        <f t="shared" si="19"/>
        <v>No Code</v>
      </c>
    </row>
    <row r="298" spans="1:17" x14ac:dyDescent="0.25">
      <c r="A298" s="8">
        <v>5253</v>
      </c>
      <c r="B298" s="8" t="s">
        <v>155</v>
      </c>
      <c r="C298" s="8" t="s">
        <v>184</v>
      </c>
      <c r="D298" s="10">
        <v>45949</v>
      </c>
      <c r="E298" s="8" t="s">
        <v>353</v>
      </c>
      <c r="F298" s="8"/>
      <c r="G298" s="1" t="str">
        <f>INDEX(Customers!B:B,MATCH(B298,Customers!A:A,0))</f>
        <v>Fatima Eze</v>
      </c>
      <c r="H298" s="1" t="str">
        <f>INDEX(Customers!E:E,MATCH(B298,Customers!A:A,0))</f>
        <v>Female</v>
      </c>
      <c r="I298" s="1">
        <f>INDEX(Customers!C:C,MATCH(B298,Customers!A:A,0))</f>
        <v>23</v>
      </c>
      <c r="J298" s="1" t="str">
        <f>INDEX(Customers!D:D,MATCH(B298,Customers!A:A,0))</f>
        <v>Port Harcourt</v>
      </c>
      <c r="K298" s="1" t="str">
        <f>INDEX(Products!B:B,MATCH(C298,Products!A:A,0))</f>
        <v>Clothing</v>
      </c>
      <c r="L298" s="1" t="str">
        <f>INDEX(Products!C:C,MATCH(C298,Products!A:A,0))</f>
        <v>Silk Blouse</v>
      </c>
      <c r="M298" s="1">
        <f>INDEX(Products!D:D,MATCH(C298,Products!A:A,0))</f>
        <v>54</v>
      </c>
      <c r="N298" s="1" t="str">
        <f t="shared" si="16"/>
        <v>Fall</v>
      </c>
      <c r="O298" s="1" t="str">
        <f t="shared" si="17"/>
        <v>20-40</v>
      </c>
      <c r="P298" s="1" t="str">
        <f t="shared" si="18"/>
        <v>Yes</v>
      </c>
      <c r="Q298" s="17" t="str">
        <f t="shared" si="19"/>
        <v>No Code</v>
      </c>
    </row>
    <row r="299" spans="1:17" x14ac:dyDescent="0.25">
      <c r="A299" s="8">
        <v>5058</v>
      </c>
      <c r="B299" s="8" t="s">
        <v>148</v>
      </c>
      <c r="C299" s="8" t="s">
        <v>182</v>
      </c>
      <c r="D299" s="10">
        <v>45958</v>
      </c>
      <c r="E299" s="8" t="s">
        <v>234</v>
      </c>
      <c r="F299" s="8"/>
      <c r="G299" s="1" t="str">
        <f>INDEX(Customers!B:B,MATCH(B299,Customers!A:A,0))</f>
        <v>Tunde Balogun</v>
      </c>
      <c r="H299" s="1" t="str">
        <f>INDEX(Customers!E:E,MATCH(B299,Customers!A:A,0))</f>
        <v>Male</v>
      </c>
      <c r="I299" s="1">
        <f>INDEX(Customers!C:C,MATCH(B299,Customers!A:A,0))</f>
        <v>33</v>
      </c>
      <c r="J299" s="1" t="str">
        <f>INDEX(Customers!D:D,MATCH(B299,Customers!A:A,0))</f>
        <v>Benin City</v>
      </c>
      <c r="K299" s="1" t="str">
        <f>INDEX(Products!B:B,MATCH(C299,Products!A:A,0))</f>
        <v>Clothing</v>
      </c>
      <c r="L299" s="1" t="str">
        <f>INDEX(Products!C:C,MATCH(C299,Products!A:A,0))</f>
        <v>Denim Jacket</v>
      </c>
      <c r="M299" s="1">
        <f>INDEX(Products!D:D,MATCH(C299,Products!A:A,0))</f>
        <v>95</v>
      </c>
      <c r="N299" s="1" t="str">
        <f t="shared" si="16"/>
        <v>Fall</v>
      </c>
      <c r="O299" s="1" t="str">
        <f t="shared" si="17"/>
        <v>20-40</v>
      </c>
      <c r="P299" s="1" t="str">
        <f t="shared" si="18"/>
        <v>Yes</v>
      </c>
      <c r="Q299" s="17" t="str">
        <f t="shared" si="19"/>
        <v>No Code</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Customers</vt:lpstr>
      <vt:lpstr>Promo Codes</vt:lpstr>
      <vt:lpstr>Products</vt:lpstr>
      <vt:lpstr>DashboardData</vt:lpstr>
      <vt:lpstr>Dashboard</vt:lpstr>
      <vt:lpstr>Combined Data</vt:lpstr>
      <vt:lpstr>tblCombined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2026-09-05T15:30:34Z</dcterms:created>
  <dcterms:modified xsi:type="dcterms:W3CDTF">2026-09-13T20:40:33Z</dcterms:modified>
</cp:coreProperties>
</file>